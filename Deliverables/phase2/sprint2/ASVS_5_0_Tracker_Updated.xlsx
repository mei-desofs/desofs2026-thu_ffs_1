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ei/Desktop/"/>
    </mc:Choice>
  </mc:AlternateContent>
  <xr:revisionPtr revIDLastSave="0" documentId="8_{E7132D80-2909-1D4A-86F5-1A6521DFEAEE}" xr6:coauthVersionLast="47" xr6:coauthVersionMax="47" xr10:uidLastSave="{00000000-0000-0000-0000-000000000000}"/>
  <bookViews>
    <workbookView xWindow="0" yWindow="660" windowWidth="30240" windowHeight="15980" tabRatio="500" firstSheet="8" activeTab="13"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G6" i="1"/>
  <c r="D6" i="1"/>
  <c r="E6" i="1" s="1"/>
  <c r="E23" i="1" l="1"/>
  <c r="L23" i="1"/>
  <c r="J23" i="1"/>
  <c r="G23" i="1"/>
  <c r="H6" i="1"/>
  <c r="H23" i="1" s="1"/>
  <c r="K6" i="1"/>
  <c r="K23" i="1" s="1"/>
  <c r="D23" i="1"/>
  <c r="M6" i="1"/>
  <c r="M23" i="1" s="1"/>
</calcChain>
</file>

<file path=xl/sharedStrings.xml><?xml version="1.0" encoding="utf-8"?>
<sst xmlns="http://schemas.openxmlformats.org/spreadsheetml/2006/main" count="2139" uniqueCount="966">
  <si>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</si>
  <si>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</si>
  <si>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</si>
  <si>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</si>
  <si>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</si>
  <si>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</si>
  <si>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</si>
  <si>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</si>
  <si>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</si>
  <si>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</si>
  <si>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</si>
  <si>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</si>
  <si>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</si>
  <si>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</si>
  <si>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</si>
  <si>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</si>
  <si>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</si>
  <si>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</si>
  <si>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</si>
  <si>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</si>
  <si>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</si>
  <si>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</si>
  <si>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</si>
  <si>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</si>
  <si>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</si>
  <si>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</si>
  <si>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</si>
  <si>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</si>
  <si>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</si>
  <si>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</si>
  <si>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</si>
  <si>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</si>
  <si>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</si>
  <si>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</si>
  <si>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</si>
  <si>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</si>
  <si>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</si>
  <si>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</si>
  <si>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</si>
  <si>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</si>
  <si>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</si>
  <si>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</si>
  <si>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</si>
  <si>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</si>
  <si>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</si>
  <si>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Compliant</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</si>
  <si>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</si>
  <si>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</si>
  <si>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</si>
  <si>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</si>
  <si>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</si>
  <si>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</si>
  <si>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Not Started</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</si>
  <si>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</si>
  <si>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</si>
  <si>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</si>
  <si>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</si>
  <si>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</si>
  <si>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</si>
  <si>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Test (Auth Bypass via SQL Injection): Submit SQL injection strings (e.g., ' OR '1'='1) to the login endpoint. Validate that the API rejects the request with 401 Unauthorized and does not expose database errors.</t>
  </si>
  <si>
    <t>Threat Model §2.1 – Auth Bypass via SQL Injection | OWASP ASVS 5.0 V1.2</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</si>
  <si>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</si>
  <si>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</si>
  <si>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</si>
  <si>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</si>
  <si>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</si>
  <si>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</si>
  <si>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</si>
  <si>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</si>
  <si>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</si>
  <si>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</si>
  <si>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</si>
  <si>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</si>
  <si>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</si>
  <si>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</si>
  <si>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</si>
  <si>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</si>
  <si>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</si>
  <si>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</si>
  <si>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</si>
  <si>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</si>
  <si>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</si>
  <si>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</si>
  <si>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</si>
  <si>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</si>
  <si>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</si>
  <si>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</si>
  <si>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</si>
  <si>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</si>
  <si>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</si>
  <si>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</si>
  <si>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</si>
  <si>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</si>
  <si>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</si>
  <si>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</si>
  <si>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</si>
  <si>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</si>
  <si>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Threat Model §2.1 – SMTP/IMAP Injection | OWASP ASVS 5.0 V1.3</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</si>
  <si>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</si>
  <si>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</si>
  <si>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</si>
  <si>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</si>
  <si>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</si>
  <si>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</si>
  <si>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</si>
  <si>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</si>
  <si>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</si>
  <si>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</si>
  <si>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</si>
  <si>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</si>
  <si>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</si>
  <si>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</si>
  <si>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</si>
  <si>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</si>
  <si>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</si>
  <si>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</si>
  <si>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</si>
  <si>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</si>
  <si>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</si>
  <si>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</si>
  <si>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</si>
  <si>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</si>
  <si>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</si>
  <si>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</si>
  <si>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</si>
  <si>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</si>
  <si>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</si>
  <si>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</si>
  <si>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</si>
  <si>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</si>
  <si>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</si>
  <si>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</si>
  <si>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</si>
  <si>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</si>
  <si>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</si>
  <si>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</si>
  <si>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</si>
  <si>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</si>
  <si>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Test (Order Calculator Manipulation): Submit invalid or irrational numeric parameters (e.g., -500 or alphabetic characters) into the calculator form. The system must trigger a validation error before processing. Business logic limits must be enforced on all calculator inputs.</t>
  </si>
  <si>
    <t>Threat Model §2.5 – Order Calculator Manipulation | OWASP ASVS 5.0 V2.3</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</si>
  <si>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</si>
  <si>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</si>
  <si>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</si>
  <si>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</si>
  <si>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</si>
  <si>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</si>
  <si>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</si>
  <si>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</si>
  <si>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</si>
  <si>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</si>
  <si>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</si>
  <si>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</si>
  <si>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</si>
  <si>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</si>
  <si>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</si>
  <si>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</si>
  <si>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Not Applicable</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</si>
  <si>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</si>
  <si>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</si>
  <si>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</si>
  <si>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</si>
  <si>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</si>
  <si>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</si>
  <si>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</si>
  <si>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</si>
  <si>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</si>
  <si>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</si>
  <si>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</si>
  <si>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</si>
  <si>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</si>
  <si>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</si>
  <si>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</si>
  <si>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</si>
  <si>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</si>
  <si>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</si>
  <si>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</si>
  <si>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</si>
  <si>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</si>
  <si>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</si>
  <si>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</si>
  <si>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</si>
  <si>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</si>
  <si>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</si>
  <si>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</si>
  <si>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</si>
  <si>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</si>
  <si>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</si>
  <si>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</si>
  <si>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</si>
  <si>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</si>
  <si>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</si>
  <si>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</si>
  <si>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</si>
  <si>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</si>
  <si>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</si>
  <si>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</si>
  <si>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</si>
  <si>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</si>
  <si>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</si>
  <si>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</si>
  <si>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</si>
  <si>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</si>
  <si>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</si>
  <si>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</si>
  <si>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</si>
  <si>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</si>
  <si>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</si>
  <si>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</si>
  <si>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</si>
  <si>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</si>
  <si>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</si>
  <si>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</si>
  <si>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</si>
  <si>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</si>
  <si>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</si>
  <si>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</si>
  <si>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</si>
  <si>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</si>
  <si>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</si>
  <si>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</si>
  <si>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</si>
  <si>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</si>
  <si>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</si>
  <si>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</si>
  <si>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</si>
  <si>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</si>
  <si>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</si>
  <si>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</si>
  <si>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</si>
  <si>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</si>
  <si>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</si>
  <si>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</si>
  <si>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</si>
  <si>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</si>
  <si>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</si>
  <si>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</si>
  <si>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</si>
  <si>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</si>
  <si>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</si>
  <si>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</si>
  <si>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</si>
  <si>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</si>
  <si>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</si>
  <si>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</si>
  <si>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</si>
  <si>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</si>
  <si>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</si>
  <si>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</si>
  <si>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</si>
  <si>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</si>
  <si>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</si>
  <si>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</si>
  <si>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</si>
  <si>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</si>
  <si>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</si>
  <si>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</si>
  <si>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</si>
  <si>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</si>
  <si>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</si>
  <si>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</si>
  <si>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</si>
  <si>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</si>
  <si>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</si>
  <si>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</si>
  <si>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</si>
  <si>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</si>
  <si>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</si>
  <si>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</si>
  <si>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</si>
  <si>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</si>
  <si>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</si>
  <si>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</si>
  <si>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</si>
  <si>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</si>
  <si>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</si>
  <si>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</si>
  <si>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</si>
  <si>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</si>
  <si>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</si>
  <si>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Test (Malicious File Upload): Upload an executable file renamed to .pdf and a genuine PDF exceeding 5MB. The system must reject both cases. Validate magic bytes for PDF format, enforce 5MB size limit, and restrict extensions to .PDF only.</t>
  </si>
  <si>
    <t>Threat Model §2.2 – Malicious File Upload | OWASP ASVS 5.0 V5.2</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</si>
  <si>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</si>
  <si>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</si>
  <si>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</si>
  <si>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</si>
  <si>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</si>
  <si>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</si>
  <si>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</si>
  <si>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</si>
  <si>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</si>
  <si>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</si>
  <si>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</si>
  <si>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</si>
  <si>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</si>
  <si>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</si>
  <si>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Threat Model §2.2 – PDF Path Traversal | OWASP ASVS 5.0 V5.3</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</si>
  <si>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</si>
  <si>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</si>
  <si>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</si>
  <si>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</si>
  <si>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</si>
  <si>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</si>
  <si>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</si>
  <si>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</si>
  <si>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</si>
  <si>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</si>
  <si>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</si>
  <si>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</si>
  <si>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</si>
  <si>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</si>
  <si>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Test (Brute Force / Credential Stuffing): Trigger multiple rapid, sequential login requests. Validate that the API blocks the IP/Account with 429 Too Many Requests after the 3rd failed attempt. Anti-automation and account lockout must be active.</t>
  </si>
  <si>
    <t>Threat Model §2.1 – Brute Force/Credential Stuffing | OWASP ASVS 5.0 V6.1</t>
  </si>
  <si>
    <t>V6.1.2</t>
  </si>
  <si>
    <t>Verify that a list of context-specific words is documented in order to prevent their use in passwords. The list could include permutations of organization names, product names, system identifiers, project codenames, department or role names, and similar.</t>
  </si>
  <si>
    <t>Test (Weak Passwords – Context-Specific Words): Attempt to create or change a password to a term included in the context-specific deny-list (e.g., 'BioCantinas123'). The system must reject the submission and display a policy error.</t>
  </si>
  <si>
    <t>Threat Model §2.1 – Weak Passwords / Context Words | OWASP ASVS 5.0 V6.1</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</si>
  <si>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</si>
  <si>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</si>
  <si>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</si>
  <si>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</si>
  <si>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</si>
  <si>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</si>
  <si>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Test (Insecure Password Creation): Attempt to submit a weak or short password (e.g., '12345', 'qwerty') on the registration/profile form. The system must block creation and mandate the minimum criteria (10-char minimum, uppercase, numbers, special characters).</t>
  </si>
  <si>
    <t>Threat Model §2.1 – Insecure Password Creation | OWASP ASVS 5.0 V6.2</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</si>
  <si>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</si>
  <si>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</si>
  <si>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</si>
  <si>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</si>
  <si>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</si>
  <si>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</si>
  <si>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</si>
  <si>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</si>
  <si>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</si>
  <si>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</si>
  <si>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</si>
  <si>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</si>
  <si>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</si>
  <si>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</si>
  <si>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</si>
  <si>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</si>
  <si>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</si>
  <si>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</si>
  <si>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</si>
  <si>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</si>
  <si>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</si>
  <si>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</si>
  <si>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</si>
  <si>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</si>
  <si>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</si>
  <si>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</si>
  <si>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</si>
  <si>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</si>
  <si>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</si>
  <si>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</si>
  <si>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</si>
  <si>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</si>
  <si>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</si>
  <si>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</si>
  <si>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</si>
  <si>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</si>
  <si>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</si>
  <si>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</si>
  <si>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</si>
  <si>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</si>
  <si>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</si>
  <si>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</si>
  <si>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</si>
  <si>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</si>
  <si>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Test (Knowledge-Based Auth Bypass): Architecturally validate the complete absence of 'security question' fields. Test the secure token-based reset flow via email to confirm no hint/question mechanism exists.</t>
  </si>
  <si>
    <t>Threat Model §2.1 – Account Compromise via KBA | OWASP ASVS 5.0 V6.4</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</si>
  <si>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</si>
  <si>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</si>
  <si>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</si>
  <si>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</si>
  <si>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</si>
  <si>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</si>
  <si>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</si>
  <si>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</si>
  <si>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</si>
  <si>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</si>
  <si>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Test (Admin-Controlled Password Reset): Access the admin panel and validate that the Admin can only click 'Send reset link', with no input field available to type a password directly for another user.</t>
  </si>
  <si>
    <t>Threat Model §2.1 – Unauthorized Admin Password Reset | OWASP ASVS 5.0 V6.4</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</si>
  <si>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</si>
  <si>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</si>
  <si>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</si>
  <si>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</si>
  <si>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</si>
  <si>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</si>
  <si>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</si>
  <si>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</si>
  <si>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</si>
  <si>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</si>
  <si>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</si>
  <si>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</si>
  <si>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</si>
  <si>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</si>
  <si>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</si>
  <si>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</si>
  <si>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</si>
  <si>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</si>
  <si>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</si>
  <si>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</si>
  <si>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</si>
  <si>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</si>
  <si>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</si>
  <si>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</si>
  <si>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</si>
  <si>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</si>
  <si>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</si>
  <si>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</si>
  <si>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</si>
  <si>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</si>
  <si>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</si>
  <si>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</si>
  <si>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Test (Session Inactivity Timeout): Leave a session token inactive beyond the specified timeout limit. Submit a new API request using that token and validate that it returns 401 Unauthorized. Document timeout values and rationale.</t>
  </si>
  <si>
    <t>Threat Model §2.1 – Lack of Session Inactivity Timeout | OWASP ASVS 5.0 V6.7 (mapped from V6.7.3)</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</si>
  <si>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</si>
  <si>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</si>
  <si>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</si>
  <si>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</si>
  <si>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</si>
  <si>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</si>
  <si>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</si>
  <si>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</si>
  <si>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</si>
  <si>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</si>
  <si>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</si>
  <si>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</si>
  <si>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</si>
  <si>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</si>
  <si>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</si>
  <si>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</si>
  <si>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</si>
  <si>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</si>
  <si>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</si>
  <si>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</si>
  <si>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</si>
  <si>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</si>
  <si>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</si>
  <si>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</si>
  <si>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</si>
  <si>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</si>
  <si>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</si>
  <si>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</si>
  <si>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</si>
  <si>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</si>
  <si>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</si>
  <si>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</si>
  <si>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</si>
  <si>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</si>
  <si>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</si>
  <si>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</si>
  <si>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</si>
  <si>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</si>
  <si>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</si>
  <si>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</si>
  <si>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Test (Session Hijacking): Click 'Logout' and verify that the old token is immediately invalidated server-side, rejecting any subsequent HTTP requests. Also verify absolute session timeouts (20 min) and that tokens are cleared from storage upon logout.</t>
  </si>
  <si>
    <t>Threat Model §2.1 – Session Hijacking | OWASP ASVS 5.0 V7.4</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</si>
  <si>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</si>
  <si>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</si>
  <si>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</si>
  <si>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</si>
  <si>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</si>
  <si>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</si>
  <si>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</si>
  <si>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</si>
  <si>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</si>
  <si>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</si>
  <si>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</si>
  <si>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</si>
  <si>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</si>
  <si>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</si>
  <si>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</si>
  <si>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</si>
  <si>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</si>
  <si>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</si>
  <si>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</si>
  <si>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</si>
  <si>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</si>
  <si>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</si>
  <si>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</si>
  <si>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</si>
  <si>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</si>
  <si>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</si>
  <si>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Test (Privilege Escalation / IDOR / Unauthorized Deactivation): (1) Authenticate as a Supplier and submit a request to /api/admin/ApproveSupplier – server must return 403 Forbidden. (2) Authenticate as Supplier A and target Supplier B's ID in a data change – must return 403. (3) Send deletion request authenticated with regular user token – must return 403.</t>
  </si>
  <si>
    <t>Threat Model §2.1 §2.2 §2.3 – Privilege Escalation / IDOR | OWASP ASVS 5.0 V8.1</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</si>
  <si>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</si>
  <si>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</si>
  <si>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</si>
  <si>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</si>
  <si>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</si>
  <si>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</si>
  <si>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</si>
  <si>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</si>
  <si>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</si>
  <si>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</si>
  <si>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</si>
  <si>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</si>
  <si>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Test (Unauthorized Account Deactivation): Send a deletion request authenticated with a regular user token (lacking privileges) to /api/supplier/delete. Validate that the server responds with 403 Forbidden.</t>
  </si>
  <si>
    <t>Threat Model §2.3 – Unauthorized Account Deactivation | OWASP ASVS 5.0 V8.2</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</si>
  <si>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</si>
  <si>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</si>
  <si>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</si>
  <si>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</si>
  <si>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</si>
  <si>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</si>
  <si>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</si>
  <si>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</si>
  <si>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</si>
  <si>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</si>
  <si>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</si>
  <si>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</si>
  <si>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</si>
  <si>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</si>
  <si>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</si>
  <si>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</si>
  <si>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</si>
  <si>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</si>
  <si>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</si>
  <si>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</si>
  <si>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</si>
  <si>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</si>
  <si>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Test (JWT Payload Tampering / Impersonation Publishing): (1) Alter the role claim inside a JWT and send the modified request – server must detect the invalid signature and reject it. (2) Submit a meal plan with a modified JWT token or invalid role claim – system must validate signature and trigger an error.</t>
  </si>
  <si>
    <t>Threat Model §2.1 §2.4 – JWT Tampering / Impersonation | OWASP ASVS 5.0 V9.1</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</si>
  <si>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</si>
  <si>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</si>
  <si>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</si>
  <si>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</si>
  <si>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</si>
  <si>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</si>
  <si>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</si>
  <si>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</si>
  <si>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</si>
  <si>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</si>
  <si>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</si>
  <si>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</si>
  <si>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</si>
  <si>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</si>
  <si>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</si>
  <si>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</si>
  <si>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</si>
  <si>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</si>
  <si>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</si>
  <si>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</si>
  <si>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</si>
  <si>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</si>
  <si>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</si>
  <si>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</si>
  <si>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</si>
  <si>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</si>
  <si>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</si>
  <si>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</si>
  <si>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</si>
  <si>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</si>
  <si>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</si>
  <si>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</si>
  <si>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</si>
  <si>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</si>
  <si>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</si>
  <si>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</si>
  <si>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</si>
  <si>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</si>
  <si>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</si>
  <si>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</si>
  <si>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</si>
  <si>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</si>
  <si>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</si>
  <si>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</si>
  <si>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</si>
  <si>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</si>
  <si>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</si>
  <si>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</si>
  <si>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</si>
  <si>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</si>
  <si>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</si>
  <si>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</si>
  <si>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</si>
  <si>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</si>
  <si>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</si>
  <si>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</si>
  <si>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</si>
  <si>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</si>
  <si>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</si>
  <si>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</si>
  <si>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</si>
  <si>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</si>
  <si>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</si>
  <si>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</si>
  <si>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</si>
  <si>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</si>
  <si>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</si>
  <si>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</si>
  <si>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</si>
  <si>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</si>
  <si>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</si>
  <si>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</si>
  <si>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</si>
  <si>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</si>
  <si>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</si>
  <si>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</si>
  <si>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</si>
  <si>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</si>
  <si>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</si>
  <si>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</si>
  <si>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</si>
  <si>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</si>
  <si>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</si>
  <si>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</si>
  <si>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</si>
  <si>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</si>
  <si>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</si>
  <si>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</si>
  <si>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</si>
  <si>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</si>
  <si>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</si>
  <si>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</si>
  <si>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</si>
  <si>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</si>
  <si>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</si>
  <si>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</si>
  <si>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</si>
  <si>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</si>
  <si>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</si>
  <si>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</si>
  <si>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</si>
  <si>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</si>
  <si>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</si>
  <si>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</si>
  <si>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</si>
  <si>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</si>
  <si>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</si>
  <si>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</si>
  <si>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</si>
  <si>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</si>
  <si>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</si>
  <si>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</si>
  <si>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</si>
  <si>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</si>
  <si>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</si>
  <si>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</si>
  <si>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</si>
  <si>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</si>
  <si>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</si>
  <si>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</si>
  <si>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</si>
  <si>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</si>
  <si>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</si>
  <si>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</si>
  <si>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</si>
  <si>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</si>
  <si>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</si>
  <si>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</si>
  <si>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</si>
  <si>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</si>
  <si>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</si>
  <si>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</si>
  <si>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</si>
  <si>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</si>
  <si>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</si>
  <si>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</si>
  <si>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</si>
  <si>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</si>
  <si>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</si>
  <si>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</si>
  <si>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</si>
  <si>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</si>
  <si>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</si>
  <si>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</si>
  <si>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</si>
  <si>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</si>
  <si>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</si>
  <si>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</si>
  <si>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</si>
  <si>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</si>
  <si>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</si>
  <si>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</si>
  <si>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</si>
  <si>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</si>
  <si>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</si>
  <si>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</si>
  <si>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</si>
  <si>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</si>
  <si>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</si>
  <si>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</si>
  <si>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</si>
  <si>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</si>
  <si>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</si>
  <si>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</si>
  <si>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</si>
  <si>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</si>
  <si>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Test (Credential Sniffing): Attempt to perform a request using unencrypted HTTP (port 80). The server must reject the connection or force a redirect to HTTPS. Verify TLS 1.2/1.3 is enforced for all frontend-to-backend communications.</t>
  </si>
  <si>
    <t>Threat Model §2.1 – Credential Sniffing | OWASP ASVS 5.0 V12.1</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</si>
  <si>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</si>
  <si>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</si>
  <si>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</si>
  <si>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</si>
  <si>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</si>
  <si>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</si>
  <si>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</si>
  <si>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</si>
  <si>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</si>
  <si>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</si>
  <si>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</si>
  <si>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</si>
  <si>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Test (Supplier Data Interception / Contract Supplier Exposure): (1) Inspect server response headers and verify that HSTS policies force encrypted communication via TLS, preventing downgraded connections. (2) Analyze the TLS handshake on contract listing endpoints – server must reject older cipher suites and mandate TLS 1.3.</t>
  </si>
  <si>
    <t>Threat Model §2.2 §2.5 – Data Interception | OWASP ASVS 5.0 V12.2</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</si>
  <si>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</si>
  <si>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</si>
  <si>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</si>
  <si>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</si>
  <si>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</si>
  <si>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</si>
  <si>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Test (Decision Email Tampering): Attempt to use the same setup link twice or after 24 hours have passed. The system must treat the token as expired/invalid, preventing link reuse or interception attacks.</t>
  </si>
  <si>
    <t>Threat Model §2.2 – Decision Email Tampering | OWASP ASVS 5.0 V12.3</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</si>
  <si>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</si>
  <si>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</si>
  <si>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</si>
  <si>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</si>
  <si>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</si>
  <si>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</si>
  <si>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</si>
  <si>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</si>
  <si>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</si>
  <si>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</si>
  <si>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</si>
  <si>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</si>
  <si>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</si>
  <si>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</si>
  <si>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Test (DoS via Complex Plans / Pipeline Misconfiguration): (1) Submit a deliberately heavy or complex payload to the nutritional calculation engine. Validate that the API terminates the process via a controlled timeout. (2) Introduce invalid syntax into the Docker Compose file and verify that the config-validation job fails immediately.</t>
  </si>
  <si>
    <t>Threat Model §2.4 §2.6 – DoS via Complex Plans / Pipeline Misconfiguration | OWASP ASVS 5.0 V13.1</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</si>
  <si>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</si>
  <si>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</si>
  <si>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</si>
  <si>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</si>
  <si>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</si>
  <si>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</si>
  <si>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</si>
  <si>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</si>
  <si>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</si>
  <si>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</si>
  <si>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</si>
  <si>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</si>
  <si>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</si>
  <si>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</si>
  <si>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</si>
  <si>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</si>
  <si>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</si>
  <si>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</si>
  <si>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</si>
  <si>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</si>
  <si>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</si>
  <si>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</si>
  <si>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</si>
  <si>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</si>
  <si>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</si>
  <si>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</si>
  <si>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</si>
  <si>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</si>
  <si>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</si>
  <si>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</si>
  <si>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</si>
  <si>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</si>
  <si>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</si>
  <si>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</si>
  <si>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</si>
  <si>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</si>
  <si>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</si>
  <si>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</si>
  <si>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</si>
  <si>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</si>
  <si>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</si>
  <si>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</si>
  <si>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</si>
  <si>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</si>
  <si>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</si>
  <si>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</si>
  <si>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</si>
  <si>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</si>
  <si>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Test (Specific Diet Data Leak): Attempt to download meal planning data via the API using a profile without clinical privileges. Ensure that health note fields (allergies, medical notes) are omitted or blank in the response. Allergy data must be classified as sensitive and encrypted at rest.</t>
  </si>
  <si>
    <t>Threat Model §2.4 – Specific Diet Data Leak | OWASP ASVS 5.0 V14.1</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</si>
  <si>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</si>
  <si>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</si>
  <si>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</si>
  <si>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</si>
  <si>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</si>
  <si>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</si>
  <si>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</si>
  <si>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</si>
  <si>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</si>
  <si>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</si>
  <si>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</si>
  <si>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</si>
  <si>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</si>
  <si>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</si>
  <si>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</si>
  <si>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</si>
  <si>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</si>
  <si>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</si>
  <si>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</si>
  <si>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</si>
  <si>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</si>
  <si>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</si>
  <si>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</si>
  <si>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</si>
  <si>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Test (Malicious Dependency Introduction / Outdated Vulnerable Dependencies): Add a dependency with a known CVE into pom.xml and validate that OWASP Dependency Check detects and reports the vulnerability in the generated HTML report. For releases, confirm the vulnerability report identifies the issue correctly.</t>
  </si>
  <si>
    <t>Threat Model §2.6 §2.7 – Malicious Dependency / Vulnerable Deps | OWASP ASVS 5.0 V14.3</t>
  </si>
  <si>
    <t>V14.3.2</t>
  </si>
  <si>
    <t>Verify that the application sets sufficient anti-caching HTTP response header fields (i.e., Cache-Control: no-store) so that sensitive data is not cached in browsers.</t>
  </si>
  <si>
    <t>Test (Secrets Exposure in Source Code): Commit a fake AWS key or JWT secret pattern into a test branch and verify that the secret scanning workflow identifies the exposed credential and blocks the merge.</t>
  </si>
  <si>
    <t>Threat Model §2.6 – Secrets Exposure in Source Code | OWASP ASVS 5.0 V14.3</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</si>
  <si>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</si>
  <si>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</si>
  <si>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</si>
  <si>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</si>
  <si>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</si>
  <si>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</si>
  <si>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</si>
  <si>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</si>
  <si>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</si>
  <si>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</si>
  <si>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</si>
  <si>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</si>
  <si>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</si>
  <si>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</si>
  <si>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</si>
  <si>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</si>
  <si>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</si>
  <si>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</si>
  <si>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</si>
  <si>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</si>
  <si>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</si>
  <si>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</si>
  <si>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</si>
  <si>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</si>
  <si>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</si>
  <si>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</si>
  <si>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</si>
  <si>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</si>
  <si>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</si>
  <si>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</si>
  <si>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</si>
  <si>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</si>
  <si>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</si>
  <si>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</si>
  <si>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</si>
  <si>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</si>
  <si>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</si>
  <si>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</si>
  <si>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</si>
  <si>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</si>
  <si>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</si>
  <si>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</si>
  <si>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</si>
  <si>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</si>
  <si>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</si>
  <si>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</si>
  <si>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Test (Double Order Race Condition): Fire two identical order-finalization requests in parallel and simultaneously. The system must process the first and drop the second via the idempotency token. No duplicate invoices should be generated.</t>
  </si>
  <si>
    <t>Threat Model §2.5 – Double Order Race Condition | OWASP ASVS 5.0 V15.4</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</si>
  <si>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</si>
  <si>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</si>
  <si>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Test (Race Condition – Supplier / Supplier Ranking): (1) Send two concurrent update requests for the same supplier record with conflicting data. The system must process one and reject the other via atomic operations or optimistic locking. (2) Send tampered sorting parameters and validate that the server ignores client-side directives, calculating ranking strictly server-side.</t>
  </si>
  <si>
    <t>Threat Model §2.3 §2.5 – Race Condition / Ranking Manipulation | OWASP ASVS 5.0 V15.4</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</si>
  <si>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</si>
  <si>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</si>
  <si>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</si>
  <si>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</si>
  <si>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</si>
  <si>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</si>
  <si>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</si>
  <si>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</si>
  <si>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</si>
  <si>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</si>
  <si>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</si>
  <si>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</si>
  <si>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Test (Action Repudiation – multiple areas): (1) Auth: Perform a supplier rejection action and validate in the audit log that the Admin's ID, timestamp, IP, and exact action are recorded. (2) Supplier Approval: Perform an approval action and verify the log contains previous state, new state, and responsible Admin ID. (3) Meal Planning: Publish a menu and inspect the audit log entry, verifying the explicit presence of the responsible dietitian's ID.</t>
  </si>
  <si>
    <t>Threat Model §2.1 §2.2 §2.3 §2.4 – Action Repudiation | OWASP ASVS 5.0 V16.2</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</si>
  <si>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</si>
  <si>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</si>
  <si>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</si>
  <si>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</si>
  <si>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</si>
  <si>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</si>
  <si>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</si>
  <si>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</si>
  <si>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Test (Sensitive Data Leakage in Logs): Force a processing error involving confidential fields (e.g., bio-certificate, passwords). Review the generated log entry and ensure that sensitive data is masked with *** and not written in plaintext.</t>
  </si>
  <si>
    <t>Threat Model §2.3 – Sensitive Data Leakage in Logs | OWASP ASVS 5.0 V16.2</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</si>
  <si>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</si>
  <si>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</si>
  <si>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</si>
  <si>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</si>
  <si>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</si>
  <si>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</si>
  <si>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</si>
  <si>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</si>
  <si>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</si>
  <si>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</si>
  <si>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</si>
  <si>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</si>
  <si>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</si>
  <si>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</si>
  <si>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</si>
  <si>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</si>
  <si>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</si>
  <si>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</si>
  <si>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</si>
  <si>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</si>
  <si>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</si>
  <si>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</si>
  <si>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</si>
  <si>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</si>
  <si>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</si>
  <si>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</si>
  <si>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</si>
  <si>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</si>
  <si>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</si>
  <si>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</si>
  <si>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</si>
  <si>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</si>
  <si>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</si>
  <si>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</si>
  <si>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</si>
  <si>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</si>
  <si>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</si>
  <si>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</si>
  <si>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</si>
  <si>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</si>
  <si>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</si>
  <si>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</si>
  <si>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</si>
  <si>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</si>
  <si>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</si>
  <si>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</si>
  <si>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</si>
  <si>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</si>
  <si>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</si>
  <si>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</si>
  <si>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</si>
  <si>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</si>
  <si>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</si>
  <si>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</si>
  <si>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</si>
  <si>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</si>
  <si>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</si>
  <si>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</si>
  <si>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Threat Model §1.2 – Authentication | OWASP ASVS 5.0 V1.2</t>
  </si>
  <si>
    <t>Test (Authetication): send URL via email after supplier approve</t>
  </si>
  <si>
    <t>Test (Menu Tampering): usage of RestController and ResponseEntitty</t>
  </si>
  <si>
    <t>Threat Model §2.4 – Every Controller | OWASP ASVS 5.0 V1.2</t>
  </si>
  <si>
    <t>Threat Model §1.3-– Send Supplier Application | OWASP ASVS 5.0 V1.2</t>
  </si>
  <si>
    <t>Threat Model §1.3-– Email Sending | OWASP ASVS 5.0 V1.2</t>
  </si>
  <si>
    <t>V1.4.1: The application is implemented in Java, which provides automatic memory management, bounds checking, and prevents buffer/stack/heap overflow vulnerabilities by design. No unmanaged memory operations are used.</t>
  </si>
  <si>
    <t>V1.4.2: The application does not perform arithmetic operations on untrusted input in a way that could lead to integer overflow exploitation.</t>
  </si>
  <si>
    <t>v1.4.3:The application uses Java, which has automatic garbage collection and does not expose manual memory management, pointers, or use-after-free risks.</t>
  </si>
  <si>
    <t>Test (SMTP/IMAP Injection): Uses MailTrap</t>
  </si>
  <si>
    <t>There are no load balancers, firewalls, and application servers</t>
  </si>
  <si>
    <t>DB arch only accepts one certificate per person</t>
  </si>
  <si>
    <t>The files are saved in the DB as byte[] directlly, so no attacker "executes" a script in their server through this upload</t>
  </si>
  <si>
    <t>The original file name is ignored and has the following format: "bio_certificate_"+id+".pdf"</t>
  </si>
  <si>
    <t>We have TotalVirusService implemented that uses the site www.virustotal.com</t>
  </si>
  <si>
    <t>Usage of Spring Security</t>
  </si>
  <si>
    <t>All the logic is validated in backend and the authorization is based on JWT token</t>
  </si>
  <si>
    <t>The Spring uses the role from the token and uses that to protect the routes</t>
  </si>
  <si>
    <t>The token loads the subject that the app uses to go to the DB to identify the exact person</t>
  </si>
  <si>
    <t>The token expires</t>
  </si>
  <si>
    <t>paasswordEncoder.matches()</t>
  </si>
  <si>
    <t>lastDeviceId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</si>
</sst>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0" fillId="3" borderId="1" xfId="0" applyFill="1" applyBorder="1" applyAlignment="1">
      <alignment vertical="top" wrapText="1"/>
    </xf>
    <xf numFmtId="0" fontId="0" fillId="4" borderId="1" xfId="0" applyFill="1" applyBorder="1" applyAlignment="1">
      <alignment vertical="top" wrapText="1"/>
    </xf>
    <xf numFmtId="0" fontId="3" fillId="9" borderId="1" xfId="0" applyFont="1" applyFill="1" applyBorder="1" applyAlignment="1">
      <alignment horizontal="center" vertical="top"/>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cellXfs>
  <cellStyles count="1">
    <cellStyle name="Normal" xfId="0" builtinId="0"/>
  </cellStyles>
  <dxfs count="51">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
      <font>
        <sz val="11"/>
        <color rgb="FF000000"/>
        <name val="Calibri"/>
        <family val="2"/>
        <charset val="1"/>
      </font>
      <alignment horizontal="general" vertical="bottom" textRotation="0" wrapText="0" indent="0" shrinkToFit="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0.375</c:v>
                </c:pt>
                <c:pt idx="1">
                  <c:v>1</c:v>
                </c:pt>
                <c:pt idx="2">
                  <c:v>0</c:v>
                </c:pt>
                <c:pt idx="3">
                  <c:v>0.5</c:v>
                </c:pt>
                <c:pt idx="4">
                  <c:v>0.75</c:v>
                </c:pt>
                <c:pt idx="5">
                  <c:v>0.76923076923076927</c:v>
                </c:pt>
                <c:pt idx="6">
                  <c:v>1</c:v>
                </c:pt>
                <c:pt idx="7">
                  <c:v>1</c:v>
                </c:pt>
                <c:pt idx="8">
                  <c:v>1</c:v>
                </c:pt>
                <c:pt idx="9">
                  <c:v>0</c:v>
                </c:pt>
                <c:pt idx="10">
                  <c:v>0</c:v>
                </c:pt>
                <c:pt idx="11">
                  <c:v>0.66666666666666663</c:v>
                </c:pt>
                <c:pt idx="12">
                  <c:v>1</c:v>
                </c:pt>
                <c:pt idx="13">
                  <c:v>0</c:v>
                </c:pt>
                <c:pt idx="14">
                  <c:v>0.33333333333333331</c:v>
                </c:pt>
                <c:pt idx="15" formatCode="General">
                  <c:v>0</c:v>
                </c:pt>
                <c:pt idx="16" formatCode="General">
                  <c:v>0</c:v>
                </c:pt>
              </c:numCache>
            </c:numRef>
          </c:val>
          <c:extLst>
            <c:ext xmlns:c16="http://schemas.microsoft.com/office/drawing/2014/chart" uri="{C3380CC4-5D6E-409C-BE32-E72D297353CC}">
              <c16:uniqueId val="{00000000-F523-544B-BC29-0DD1BDAE967A}"/>
            </c:ext>
          </c:extLst>
        </c:ser>
        <c:ser>
          <c:idx val="1"/>
          <c:order val="1"/>
          <c:tx>
            <c:strRef>
              <c:f>Summary!$H$5</c:f>
              <c:strCache>
                <c:ptCount val="1"/>
                <c:pt idx="0">
                  <c:v>L2
%</c:v>
                </c:pt>
              </c:strCache>
            </c:strRef>
          </c:tx>
          <c:spPr>
            <a:solidFill>
              <a:srgbClr val="FFEB9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0.26315789473684209</c:v>
                </c:pt>
                <c:pt idx="1">
                  <c:v>0.7142857142857143</c:v>
                </c:pt>
                <c:pt idx="2">
                  <c:v>0</c:v>
                </c:pt>
                <c:pt idx="3">
                  <c:v>0.125</c:v>
                </c:pt>
                <c:pt idx="4">
                  <c:v>0.8</c:v>
                </c:pt>
                <c:pt idx="5">
                  <c:v>0.31818181818181818</c:v>
                </c:pt>
                <c:pt idx="6">
                  <c:v>0.58333333333333337</c:v>
                </c:pt>
                <c:pt idx="7">
                  <c:v>0</c:v>
                </c:pt>
                <c:pt idx="8">
                  <c:v>0.33333333333333331</c:v>
                </c:pt>
                <c:pt idx="9">
                  <c:v>8.3333333333333329E-2</c:v>
                </c:pt>
                <c:pt idx="10">
                  <c:v>0</c:v>
                </c:pt>
                <c:pt idx="11">
                  <c:v>0</c:v>
                </c:pt>
                <c:pt idx="12">
                  <c:v>0.41666666666666669</c:v>
                </c:pt>
                <c:pt idx="13">
                  <c:v>0.42857142857142855</c:v>
                </c:pt>
                <c:pt idx="14">
                  <c:v>0.4</c:v>
                </c:pt>
                <c:pt idx="15">
                  <c:v>0.875</c:v>
                </c:pt>
                <c:pt idx="16">
                  <c:v>0</c:v>
                </c:pt>
              </c:numCache>
            </c:numRef>
          </c:val>
          <c:extLst>
            <c:ext xmlns:c16="http://schemas.microsoft.com/office/drawing/2014/chart" uri="{C3380CC4-5D6E-409C-BE32-E72D297353CC}">
              <c16:uniqueId val="{00000001-F523-544B-BC29-0DD1BDAE967A}"/>
            </c:ext>
          </c:extLst>
        </c:ser>
        <c:ser>
          <c:idx val="2"/>
          <c:order val="2"/>
          <c:tx>
            <c:strRef>
              <c:f>Summary!$K$5</c:f>
              <c:strCache>
                <c:ptCount val="1"/>
                <c:pt idx="0">
                  <c:v>L3
%</c:v>
                </c:pt>
              </c:strCache>
            </c:strRef>
          </c:tx>
          <c:spPr>
            <a:solidFill>
              <a:srgbClr val="FABF8F"/>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0.5</c:v>
                </c:pt>
                <c:pt idx="2">
                  <c:v>0</c:v>
                </c:pt>
                <c:pt idx="3">
                  <c:v>0.66666666666666663</c:v>
                </c:pt>
                <c:pt idx="4">
                  <c:v>0.25</c:v>
                </c:pt>
                <c:pt idx="5">
                  <c:v>0.41666666666666669</c:v>
                </c:pt>
                <c:pt idx="6">
                  <c:v>0</c:v>
                </c:pt>
                <c:pt idx="7">
                  <c:v>0</c:v>
                </c:pt>
                <c:pt idx="8" formatCode="General">
                  <c:v>0</c:v>
                </c:pt>
                <c:pt idx="9">
                  <c:v>0.14285714285714285</c:v>
                </c:pt>
                <c:pt idx="10">
                  <c:v>0</c:v>
                </c:pt>
                <c:pt idx="11">
                  <c:v>0</c:v>
                </c:pt>
                <c:pt idx="12">
                  <c:v>0.125</c:v>
                </c:pt>
                <c:pt idx="13">
                  <c:v>0</c:v>
                </c:pt>
                <c:pt idx="14">
                  <c:v>0.625</c:v>
                </c:pt>
                <c:pt idx="15">
                  <c:v>1</c:v>
                </c:pt>
              </c:numCache>
            </c:numRef>
          </c:val>
          <c:extLst>
            <c:ext xmlns:c16="http://schemas.microsoft.com/office/drawing/2014/chart" uri="{C3380CC4-5D6E-409C-BE32-E72D297353CC}">
              <c16:uniqueId val="{00000002-F523-544B-BC29-0DD1BDAE967A}"/>
            </c:ext>
          </c:extLst>
        </c:ser>
        <c:ser>
          <c:idx val="3"/>
          <c:order val="3"/>
          <c:tx>
            <c:strRef>
              <c:f>Summary!$M$5</c:f>
              <c:strCache>
                <c:ptCount val="1"/>
                <c:pt idx="0">
                  <c:v>Overall
%</c:v>
                </c:pt>
              </c:strCache>
            </c:strRef>
          </c:tx>
          <c:spPr>
            <a:solidFill>
              <a:srgbClr val="579D1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0.26666666666666666</c:v>
                </c:pt>
                <c:pt idx="1">
                  <c:v>0.76923076923076927</c:v>
                </c:pt>
                <c:pt idx="2">
                  <c:v>0</c:v>
                </c:pt>
                <c:pt idx="3">
                  <c:v>0.375</c:v>
                </c:pt>
                <c:pt idx="4">
                  <c:v>0.61538461538461542</c:v>
                </c:pt>
                <c:pt idx="5">
                  <c:v>0.46808510638297873</c:v>
                </c:pt>
                <c:pt idx="6">
                  <c:v>0.68421052631578949</c:v>
                </c:pt>
                <c:pt idx="7">
                  <c:v>0.30769230769230771</c:v>
                </c:pt>
                <c:pt idx="8">
                  <c:v>0.7142857142857143</c:v>
                </c:pt>
                <c:pt idx="9">
                  <c:v>8.3333333333333329E-2</c:v>
                </c:pt>
                <c:pt idx="10">
                  <c:v>0</c:v>
                </c:pt>
                <c:pt idx="11">
                  <c:v>0.16666666666666666</c:v>
                </c:pt>
                <c:pt idx="12">
                  <c:v>0.33333333333333331</c:v>
                </c:pt>
                <c:pt idx="13">
                  <c:v>0.23076923076923078</c:v>
                </c:pt>
                <c:pt idx="14">
                  <c:v>0.47619047619047616</c:v>
                </c:pt>
                <c:pt idx="15">
                  <c:v>0.88235294117647056</c:v>
                </c:pt>
                <c:pt idx="16">
                  <c:v>0</c:v>
                </c:pt>
              </c:numCache>
            </c:numRef>
          </c:val>
          <c:extLst>
            <c:ext xmlns:c16="http://schemas.microsoft.com/office/drawing/2014/chart" uri="{C3380CC4-5D6E-409C-BE32-E72D297353CC}">
              <c16:uniqueId val="{00000003-F523-544B-BC29-0DD1BDAE967A}"/>
            </c:ext>
          </c:extLst>
        </c:ser>
        <c:dLbls>
          <c:showLegendKey val="0"/>
          <c:showVal val="0"/>
          <c:showCatName val="0"/>
          <c:showSerName val="0"/>
          <c:showPercent val="0"/>
          <c:showBubbleSize val="0"/>
        </c:dLbls>
        <c:gapWidth val="100"/>
        <c:axId val="26576197"/>
        <c:axId val="10469852"/>
      </c:barChart>
      <c:catAx>
        <c:axId val="26576197"/>
        <c:scaling>
          <c:orientation val="minMax"/>
        </c:scaling>
        <c:delete val="0"/>
        <c:axPos val="l"/>
        <c:numFmt formatCode="General" sourceLinked="0"/>
        <c:majorTickMark val="out"/>
        <c:minorTickMark val="none"/>
        <c:tickLblPos val="nextTo"/>
        <c:spPr>
          <a:ln w="6480">
            <a:solidFill>
              <a:srgbClr val="B3B3B3"/>
            </a:solidFill>
            <a:round/>
          </a:ln>
        </c:spPr>
        <c:txPr>
          <a:bodyPr/>
          <a:lstStyle/>
          <a:p>
            <a:pPr>
              <a:defRPr sz="1000" b="0" strike="noStrike" spc="-1">
                <a:solidFill>
                  <a:srgbClr val="000000"/>
                </a:solidFill>
                <a:latin typeface="Arial"/>
              </a:defRPr>
            </a:pPr>
            <a:endParaRPr lang="en-PT"/>
          </a:p>
        </c:txPr>
        <c:crossAx val="10469852"/>
        <c:crosses val="autoZero"/>
        <c:auto val="1"/>
        <c:lblAlgn val="ctr"/>
        <c:lblOffset val="100"/>
        <c:noMultiLvlLbl val="0"/>
      </c:catAx>
      <c:valAx>
        <c:axId val="10469852"/>
        <c:scaling>
          <c:orientation val="minMax"/>
        </c:scaling>
        <c:delete val="0"/>
        <c:axPos val="b"/>
        <c:majorGridlines>
          <c:spPr>
            <a:ln w="6480">
              <a:solidFill>
                <a:srgbClr val="B3B3B3"/>
              </a:solidFill>
              <a:round/>
            </a:ln>
          </c:spPr>
        </c:majorGridlines>
        <c:numFmt formatCode="0%" sourceLinked="0"/>
        <c:majorTickMark val="out"/>
        <c:minorTickMark val="none"/>
        <c:tickLblPos val="nextTo"/>
        <c:spPr>
          <a:ln w="6480">
            <a:solidFill>
              <a:srgbClr val="B3B3B3"/>
            </a:solidFill>
            <a:round/>
          </a:ln>
        </c:spPr>
        <c:txPr>
          <a:bodyPr/>
          <a:lstStyle/>
          <a:p>
            <a:pPr>
              <a:defRPr sz="1000" b="0" strike="noStrike" spc="-1">
                <a:solidFill>
                  <a:srgbClr val="000000"/>
                </a:solidFill>
                <a:latin typeface="Arial"/>
              </a:defRPr>
            </a:pPr>
            <a:endParaRPr lang="en-PT"/>
          </a:p>
        </c:txPr>
        <c:crossAx val="2657619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defRPr>
          </a:pPr>
          <a:endParaRPr lang="en-PT"/>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13</xdr:col>
      <xdr:colOff>82080</xdr:colOff>
      <xdr:row>47</xdr:row>
      <xdr:rowOff>56520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75" zoomScaleNormal="75" workbookViewId="0">
      <selection activeCell="Q10" sqref="Q10"/>
    </sheetView>
  </sheetViews>
  <sheetFormatPr baseColWidth="10" defaultColWidth="8.5" defaultRowHeight="15" x14ac:dyDescent="0.2"/>
  <cols>
    <col min="1" max="1" width="34" customWidth="1"/>
    <col min="2" max="13" width="11" customWidth="1"/>
  </cols>
  <sheetData>
    <row r="1" spans="1:16" ht="36" customHeight="1" x14ac:dyDescent="0.2">
      <c r="A1" s="26" t="s">
        <v>0</v>
      </c>
      <c r="B1" s="26"/>
      <c r="C1" s="26"/>
      <c r="D1" s="26"/>
      <c r="E1" s="26"/>
      <c r="F1" s="26"/>
      <c r="G1" s="26"/>
      <c r="H1" s="26"/>
      <c r="I1" s="26"/>
      <c r="J1" s="26"/>
      <c r="K1" s="26"/>
      <c r="L1" s="26"/>
      <c r="M1" s="26"/>
      <c r="N1" s="26"/>
      <c r="O1" s="26"/>
      <c r="P1" s="26"/>
    </row>
    <row r="2" spans="1:16" ht="19.5" customHeight="1" x14ac:dyDescent="0.2">
      <c r="A2" s="27"/>
      <c r="B2" s="27"/>
      <c r="C2" s="27"/>
      <c r="D2" s="27"/>
      <c r="E2" s="27"/>
      <c r="F2" s="27"/>
      <c r="G2" s="27"/>
      <c r="H2" s="27"/>
      <c r="I2" s="27"/>
      <c r="J2" s="27"/>
      <c r="K2" s="27"/>
      <c r="L2" s="27"/>
      <c r="M2" s="27"/>
      <c r="N2" s="27"/>
      <c r="O2" s="27"/>
      <c r="P2" s="27"/>
    </row>
    <row r="3" spans="1:16" ht="18" customHeight="1" x14ac:dyDescent="0.2">
      <c r="A3" s="28"/>
      <c r="B3" s="28"/>
      <c r="C3" s="1"/>
      <c r="E3" s="1"/>
      <c r="G3" s="1"/>
      <c r="I3" s="1"/>
      <c r="K3" s="1"/>
      <c r="M3" s="1"/>
      <c r="O3" s="1"/>
    </row>
    <row r="5" spans="1:16" ht="31.5" customHeight="1" x14ac:dyDescent="0.2">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2">
      <c r="A6" s="3" t="s">
        <v>14</v>
      </c>
      <c r="B6" s="4">
        <v>30</v>
      </c>
      <c r="C6" s="4">
        <v>8</v>
      </c>
      <c r="D6" s="4">
        <f>COUNTIFS('V1 - Encoding and Sanitization'!$F$2:$F$36,"Compliant",'V1 - Encoding and Sanitization'!$E$2:$E$36,1)</f>
        <v>3</v>
      </c>
      <c r="E6" s="5">
        <f t="shared" ref="E6:E20" si="0">IF(C6=0,"",D6/C6)</f>
        <v>0.375</v>
      </c>
      <c r="F6" s="4">
        <v>19</v>
      </c>
      <c r="G6" s="4">
        <f>COUNTIFS('V1 - Encoding and Sanitization'!$F$2:$F$36,"Compliant",'V1 - Encoding and Sanitization'!$E$2:$E$36,2)</f>
        <v>5</v>
      </c>
      <c r="H6" s="5">
        <f t="shared" ref="H6:H22" si="1">IF(F6=0,"",G6/F6)</f>
        <v>0.26315789473684209</v>
      </c>
      <c r="I6" s="4">
        <v>3</v>
      </c>
      <c r="J6" s="4">
        <f>COUNTIFS('V1 - Encoding and Sanitization'!$F$2:$F$36,"Compliant",'V1 - Encoding and Sanitization'!$E$2:$E$36,3)</f>
        <v>0</v>
      </c>
      <c r="K6" s="5">
        <f t="shared" ref="K6:K13" si="2">IF(I6=0,"",J6/I6)</f>
        <v>0</v>
      </c>
      <c r="L6" s="4">
        <f>COUNTIF('V1 - Encoding and Sanitization'!$F$2:$F$36,"Compliant")</f>
        <v>8</v>
      </c>
      <c r="M6" s="5">
        <f t="shared" ref="M6:M22" si="3">IF(B6=0,"",L6/B6)</f>
        <v>0.26666666666666666</v>
      </c>
    </row>
    <row r="7" spans="1:16" ht="18" customHeight="1" x14ac:dyDescent="0.2">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5</v>
      </c>
      <c r="H7" s="8">
        <f t="shared" si="1"/>
        <v>0.7142857142857143</v>
      </c>
      <c r="I7" s="7">
        <v>2</v>
      </c>
      <c r="J7" s="7">
        <f>COUNTIFS('V2 - Validation and Business Lo'!$F$2:$F$18,"Compliant",'V2 - Validation and Business Lo'!$E$2:$E$18,3)</f>
        <v>1</v>
      </c>
      <c r="K7" s="8">
        <f t="shared" si="2"/>
        <v>0.5</v>
      </c>
      <c r="L7" s="7">
        <f>COUNTIF('V2 - Validation and Business Lo'!$F$2:$F$18,"Compliant")</f>
        <v>10</v>
      </c>
      <c r="M7" s="8">
        <f t="shared" si="3"/>
        <v>0.76923076923076927</v>
      </c>
    </row>
    <row r="8" spans="1:16" ht="18" customHeight="1" x14ac:dyDescent="0.2">
      <c r="A8" s="3" t="s">
        <v>16</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x14ac:dyDescent="0.2">
      <c r="A9" s="6" t="s">
        <v>17</v>
      </c>
      <c r="B9" s="7">
        <v>16</v>
      </c>
      <c r="C9" s="7">
        <v>2</v>
      </c>
      <c r="D9" s="7">
        <f>COUNTIFS('V4 - API and Web Service'!$F$2:$F$21,"Compliant",'V4 - API and Web Service'!$E$2:$E$21,1)</f>
        <v>1</v>
      </c>
      <c r="E9" s="8">
        <f t="shared" si="0"/>
        <v>0.5</v>
      </c>
      <c r="F9" s="7">
        <v>8</v>
      </c>
      <c r="G9" s="7">
        <f>COUNTIFS('V4 - API and Web Service'!$F$2:$F$21,"Compliant",'V4 - API and Web Service'!$E$2:$E$21,2)</f>
        <v>1</v>
      </c>
      <c r="H9" s="8">
        <f t="shared" si="1"/>
        <v>0.125</v>
      </c>
      <c r="I9" s="7">
        <v>6</v>
      </c>
      <c r="J9" s="7">
        <f>COUNTIFS('V4 - API and Web Service'!$F$2:$F$21,"Compliant",'V4 - API and Web Service'!$E$2:$E$21,3)</f>
        <v>4</v>
      </c>
      <c r="K9" s="8">
        <f t="shared" si="2"/>
        <v>0.66666666666666663</v>
      </c>
      <c r="L9" s="7">
        <f>COUNTIF('V4 - API and Web Service'!$F$2:$F$21,"Compliant")</f>
        <v>6</v>
      </c>
      <c r="M9" s="8">
        <f t="shared" si="3"/>
        <v>0.375</v>
      </c>
    </row>
    <row r="10" spans="1:16" ht="18" customHeight="1" x14ac:dyDescent="0.2">
      <c r="A10" s="3" t="s">
        <v>18</v>
      </c>
      <c r="B10" s="4">
        <v>13</v>
      </c>
      <c r="C10" s="4">
        <v>4</v>
      </c>
      <c r="D10" s="4">
        <f>COUNTIFS('V5 - File Handling'!$F$2:$F$18,"Compliant",'V5 - File Handling'!$E$2:$E$18,1)</f>
        <v>3</v>
      </c>
      <c r="E10" s="5">
        <f t="shared" si="0"/>
        <v>0.75</v>
      </c>
      <c r="F10" s="4">
        <v>5</v>
      </c>
      <c r="G10" s="4">
        <f>COUNTIFS('V5 - File Handling'!$F$2:$F$18,"Compliant",'V5 - File Handling'!$E$2:$E$18,2)</f>
        <v>4</v>
      </c>
      <c r="H10" s="5">
        <f t="shared" si="1"/>
        <v>0.8</v>
      </c>
      <c r="I10" s="4">
        <v>4</v>
      </c>
      <c r="J10" s="4">
        <f>COUNTIFS('V5 - File Handling'!$F$2:$F$18,"Compliant",'V5 - File Handling'!$E$2:$E$18,3)</f>
        <v>1</v>
      </c>
      <c r="K10" s="5">
        <f t="shared" si="2"/>
        <v>0.25</v>
      </c>
      <c r="L10" s="4">
        <f>COUNTIF('V5 - File Handling'!$F$2:$F$18,"Compliant")</f>
        <v>8</v>
      </c>
      <c r="M10" s="5">
        <f t="shared" si="3"/>
        <v>0.61538461538461542</v>
      </c>
    </row>
    <row r="11" spans="1:16" ht="18" customHeight="1" x14ac:dyDescent="0.2">
      <c r="A11" s="6" t="s">
        <v>19</v>
      </c>
      <c r="B11" s="7">
        <v>47</v>
      </c>
      <c r="C11" s="7">
        <v>13</v>
      </c>
      <c r="D11" s="7">
        <f>COUNTIFS('V6 - Authentication'!$F$2:$F$56,"Compliant",'V6 - Authentication'!$E$2:$E$56,1)</f>
        <v>10</v>
      </c>
      <c r="E11" s="8">
        <f t="shared" si="0"/>
        <v>0.76923076923076927</v>
      </c>
      <c r="F11" s="7">
        <v>22</v>
      </c>
      <c r="G11" s="7">
        <f>COUNTIFS('V6 - Authentication'!$F$2:$F$56,"Compliant",'V6 - Authentication'!$E$2:$E$56,2)</f>
        <v>7</v>
      </c>
      <c r="H11" s="8">
        <f t="shared" si="1"/>
        <v>0.31818181818181818</v>
      </c>
      <c r="I11" s="7">
        <v>12</v>
      </c>
      <c r="J11" s="7">
        <f>COUNTIFS('V6 - Authentication'!$F$2:$F$56,"Compliant",'V6 - Authentication'!$E$2:$E$56,3)</f>
        <v>5</v>
      </c>
      <c r="K11" s="8">
        <f t="shared" si="2"/>
        <v>0.41666666666666669</v>
      </c>
      <c r="L11" s="7">
        <f>COUNTIF('V6 - Authentication'!$F$2:$F$56,"Compliant")</f>
        <v>22</v>
      </c>
      <c r="M11" s="8">
        <f t="shared" si="3"/>
        <v>0.46808510638297873</v>
      </c>
    </row>
    <row r="12" spans="1:16" ht="18" customHeight="1" x14ac:dyDescent="0.2">
      <c r="A12" s="3" t="s">
        <v>20</v>
      </c>
      <c r="B12" s="4">
        <v>19</v>
      </c>
      <c r="C12" s="4">
        <v>6</v>
      </c>
      <c r="D12" s="4">
        <f>COUNTIFS('V7 - Session Management'!$F$2:$F$26,"Compliant",'V7 - Session Management'!$E$2:$E$26,1)</f>
        <v>6</v>
      </c>
      <c r="E12" s="5">
        <f t="shared" si="0"/>
        <v>1</v>
      </c>
      <c r="F12" s="4">
        <v>12</v>
      </c>
      <c r="G12" s="4">
        <f>COUNTIFS('V7 - Session Management'!$F$2:$F$26,"Compliant",'V7 - Session Management'!$E$2:$E$26,2)</f>
        <v>7</v>
      </c>
      <c r="H12" s="5">
        <f t="shared" si="1"/>
        <v>0.58333333333333337</v>
      </c>
      <c r="I12" s="4">
        <v>1</v>
      </c>
      <c r="J12" s="4">
        <f>COUNTIFS('V7 - Session Management'!$F$2:$F$26,"Compliant",'V7 - Session Management'!$E$2:$E$26,3)</f>
        <v>0</v>
      </c>
      <c r="K12" s="5">
        <f t="shared" si="2"/>
        <v>0</v>
      </c>
      <c r="L12" s="4">
        <f>COUNTIF('V7 - Session Management'!$F$2:$F$26,"Compliant")</f>
        <v>13</v>
      </c>
      <c r="M12" s="5">
        <f t="shared" si="3"/>
        <v>0.68421052631578949</v>
      </c>
    </row>
    <row r="13" spans="1:16" ht="18" customHeight="1" x14ac:dyDescent="0.2">
      <c r="A13" s="6" t="s">
        <v>21</v>
      </c>
      <c r="B13" s="7">
        <v>13</v>
      </c>
      <c r="C13" s="7">
        <v>4</v>
      </c>
      <c r="D13" s="7">
        <f>COUNTIFS('V8 - Authorization'!$F$2:$F$18,"Compliant",'V8 - Authorization'!$E$2:$E$18,1)</f>
        <v>4</v>
      </c>
      <c r="E13" s="8">
        <f t="shared" si="0"/>
        <v>1</v>
      </c>
      <c r="F13" s="7">
        <v>3</v>
      </c>
      <c r="G13" s="7">
        <f>COUNTIFS('V8 - Authorization'!$F$2:$F$18,"Compliant",'V8 - Authorization'!$E$2:$E$18,2)</f>
        <v>0</v>
      </c>
      <c r="H13" s="8">
        <f t="shared" si="1"/>
        <v>0</v>
      </c>
      <c r="I13" s="7">
        <v>6</v>
      </c>
      <c r="J13" s="7">
        <f>COUNTIFS('V8 - Authorization'!$F$2:$F$18,"Compliant",'V8 - Authorization'!$E$2:$E$18,3)</f>
        <v>0</v>
      </c>
      <c r="K13" s="8">
        <f t="shared" si="2"/>
        <v>0</v>
      </c>
      <c r="L13" s="7">
        <f>COUNTIF('V8 - Authorization'!$F$2:$F$18,"Compliant")</f>
        <v>4</v>
      </c>
      <c r="M13" s="8">
        <f t="shared" si="3"/>
        <v>0.30769230769230771</v>
      </c>
    </row>
    <row r="14" spans="1:16" ht="18" customHeight="1" x14ac:dyDescent="0.2">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1</v>
      </c>
      <c r="H14" s="5">
        <f t="shared" si="1"/>
        <v>0.33333333333333331</v>
      </c>
      <c r="I14" s="4">
        <v>0</v>
      </c>
      <c r="J14" s="4" t="s">
        <v>23</v>
      </c>
      <c r="K14" s="4" t="s">
        <v>23</v>
      </c>
      <c r="L14" s="4">
        <f>COUNTIF('V9 - Self-contained Tokens'!$F$2:$F$10,"Compliant")</f>
        <v>5</v>
      </c>
      <c r="M14" s="5">
        <f t="shared" si="3"/>
        <v>0.7142857142857143</v>
      </c>
    </row>
    <row r="15" spans="1:16" ht="18" customHeight="1" x14ac:dyDescent="0.2">
      <c r="A15" s="6" t="s">
        <v>24</v>
      </c>
      <c r="B15" s="7">
        <v>36</v>
      </c>
      <c r="C15" s="7">
        <v>5</v>
      </c>
      <c r="D15" s="7">
        <f>COUNTIFS('V10 - OAuth and OIDC'!$F$2:$F$44,"Compliant",'V10 - OAuth and OIDC'!$E$2:$E$44,1)</f>
        <v>0</v>
      </c>
      <c r="E15" s="8">
        <f t="shared" si="0"/>
        <v>0</v>
      </c>
      <c r="F15" s="7">
        <v>24</v>
      </c>
      <c r="G15" s="7">
        <f>COUNTIFS('V10 - OAuth and OIDC'!$F$2:$F$44,"Compliant",'V10 - OAuth and OIDC'!$E$2:$E$44,2)</f>
        <v>2</v>
      </c>
      <c r="H15" s="8">
        <f t="shared" si="1"/>
        <v>8.3333333333333329E-2</v>
      </c>
      <c r="I15" s="7">
        <v>7</v>
      </c>
      <c r="J15" s="7">
        <f>COUNTIFS('V10 - OAuth and OIDC'!$F$2:$F$44,"Compliant",'V10 - OAuth and OIDC'!$E$2:$E$44,3)</f>
        <v>1</v>
      </c>
      <c r="K15" s="8">
        <f t="shared" ref="K15:K22" si="4">IF(I15=0,"",J15/I15)</f>
        <v>0.14285714285714285</v>
      </c>
      <c r="L15" s="7">
        <f>COUNTIF('V10 - OAuth and OIDC'!$F$2:$F$44,"Compliant")</f>
        <v>3</v>
      </c>
      <c r="M15" s="8">
        <f t="shared" si="3"/>
        <v>8.3333333333333329E-2</v>
      </c>
    </row>
    <row r="16" spans="1:16" ht="18" customHeight="1" x14ac:dyDescent="0.2">
      <c r="A16" s="3" t="s">
        <v>25</v>
      </c>
      <c r="B16" s="4">
        <v>24</v>
      </c>
      <c r="C16" s="4">
        <v>3</v>
      </c>
      <c r="D16" s="4">
        <f>COUNTIFS('V11 - Cryptography'!$F$2:$F$32,"Compliant",'V11 - Cryptography'!$E$2:$E$32,1)</f>
        <v>0</v>
      </c>
      <c r="E16" s="5">
        <f t="shared" si="0"/>
        <v>0</v>
      </c>
      <c r="F16" s="4">
        <v>11</v>
      </c>
      <c r="G16" s="4">
        <f>COUNTIFS('V11 - Cryptography'!$F$2:$F$32,"Compliant",'V11 - Cryptography'!$E$2:$E$32,2)</f>
        <v>0</v>
      </c>
      <c r="H16" s="5">
        <f t="shared" si="1"/>
        <v>0</v>
      </c>
      <c r="I16" s="4">
        <v>10</v>
      </c>
      <c r="J16" s="4">
        <f>COUNTIFS('V11 - Cryptography'!$F$2:$F$32,"Compliant",'V11 - Cryptography'!$E$2:$E$32,3)</f>
        <v>0</v>
      </c>
      <c r="K16" s="5">
        <f t="shared" si="4"/>
        <v>0</v>
      </c>
      <c r="L16" s="4">
        <f>COUNTIF('V11 - Cryptography'!$F$2:$F$32,"Compliant")</f>
        <v>0</v>
      </c>
      <c r="M16" s="5">
        <f t="shared" si="3"/>
        <v>0</v>
      </c>
    </row>
    <row r="17" spans="1:13" ht="18" customHeight="1" x14ac:dyDescent="0.2">
      <c r="A17" s="6" t="s">
        <v>26</v>
      </c>
      <c r="B17" s="7">
        <v>12</v>
      </c>
      <c r="C17" s="7">
        <v>3</v>
      </c>
      <c r="D17" s="7">
        <f>COUNTIFS('V12 - Secure Communication'!$F$2:$F$16,"Compliant",'V12 - Secure Communication'!$E$2:$E$16,1)</f>
        <v>2</v>
      </c>
      <c r="E17" s="8">
        <f t="shared" si="0"/>
        <v>0.66666666666666663</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2</v>
      </c>
      <c r="M17" s="8">
        <f t="shared" si="3"/>
        <v>0.16666666666666666</v>
      </c>
    </row>
    <row r="18" spans="1:13" ht="18" customHeight="1" x14ac:dyDescent="0.2">
      <c r="A18" s="3" t="s">
        <v>27</v>
      </c>
      <c r="B18" s="4">
        <v>21</v>
      </c>
      <c r="C18" s="4">
        <v>1</v>
      </c>
      <c r="D18" s="4">
        <f>COUNTIFS('V13 - Configuration'!$F$2:$F$26,"Compliant",'V13 - Configuration'!$E$2:$E$26,1)</f>
        <v>1</v>
      </c>
      <c r="E18" s="5">
        <f t="shared" si="0"/>
        <v>1</v>
      </c>
      <c r="F18" s="4">
        <v>12</v>
      </c>
      <c r="G18" s="4">
        <f>COUNTIFS('V13 - Configuration'!$F$2:$F$26,"Compliant",'V13 - Configuration'!$E$2:$E$26,2)</f>
        <v>5</v>
      </c>
      <c r="H18" s="5">
        <f t="shared" si="1"/>
        <v>0.41666666666666669</v>
      </c>
      <c r="I18" s="4">
        <v>8</v>
      </c>
      <c r="J18" s="4">
        <f>COUNTIFS('V13 - Configuration'!$F$2:$F$26,"Compliant",'V13 - Configuration'!$E$2:$E$26,3)</f>
        <v>1</v>
      </c>
      <c r="K18" s="5">
        <f t="shared" si="4"/>
        <v>0.125</v>
      </c>
      <c r="L18" s="4">
        <f>COUNTIF('V13 - Configuration'!$F$2:$F$26,"Compliant")</f>
        <v>7</v>
      </c>
      <c r="M18" s="5">
        <f t="shared" si="3"/>
        <v>0.33333333333333331</v>
      </c>
    </row>
    <row r="19" spans="1:13" ht="18" customHeight="1" x14ac:dyDescent="0.2">
      <c r="A19" s="6" t="s">
        <v>28</v>
      </c>
      <c r="B19" s="7">
        <v>13</v>
      </c>
      <c r="C19" s="7">
        <v>2</v>
      </c>
      <c r="D19" s="7">
        <f>COUNTIFS('V14 - Data Protection'!$F$2:$F$17,"Compliant",'V14 - Data Protection'!$E$2:$E$17,1)</f>
        <v>0</v>
      </c>
      <c r="E19" s="8">
        <f t="shared" si="0"/>
        <v>0</v>
      </c>
      <c r="F19" s="7">
        <v>7</v>
      </c>
      <c r="G19" s="7">
        <f>COUNTIFS('V14 - Data Protection'!$F$2:$F$17,"Compliant",'V14 - Data Protection'!$E$2:$E$17,2)</f>
        <v>3</v>
      </c>
      <c r="H19" s="8">
        <f t="shared" si="1"/>
        <v>0.42857142857142855</v>
      </c>
      <c r="I19" s="7">
        <v>4</v>
      </c>
      <c r="J19" s="7">
        <f>COUNTIFS('V14 - Data Protection'!$F$2:$F$17,"Compliant",'V14 - Data Protection'!$E$2:$E$17,3)</f>
        <v>0</v>
      </c>
      <c r="K19" s="8">
        <f t="shared" si="4"/>
        <v>0</v>
      </c>
      <c r="L19" s="7">
        <f>COUNTIF('V14 - Data Protection'!$F$2:$F$17,"Compliant")</f>
        <v>3</v>
      </c>
      <c r="M19" s="8">
        <f t="shared" si="3"/>
        <v>0.23076923076923078</v>
      </c>
    </row>
    <row r="20" spans="1:13" ht="18" customHeight="1" x14ac:dyDescent="0.2">
      <c r="A20" s="3" t="s">
        <v>29</v>
      </c>
      <c r="B20" s="4">
        <v>21</v>
      </c>
      <c r="C20" s="4">
        <v>3</v>
      </c>
      <c r="D20" s="4">
        <f>COUNTIFS('V15 - Secure Coding and Archite'!$F$2:$F$26,"Compliant",'V15 - Secure Coding and Archite'!$E$2:$E$26,1)</f>
        <v>1</v>
      </c>
      <c r="E20" s="5">
        <f t="shared" si="0"/>
        <v>0.33333333333333331</v>
      </c>
      <c r="F20" s="4">
        <v>10</v>
      </c>
      <c r="G20" s="4">
        <f>COUNTIFS('V15 - Secure Coding and Archite'!$F$2:$F$26,"Compliant",'V15 - Secure Coding and Archite'!$E$2:$E$26,2)</f>
        <v>4</v>
      </c>
      <c r="H20" s="5">
        <f t="shared" si="1"/>
        <v>0.4</v>
      </c>
      <c r="I20" s="4">
        <v>8</v>
      </c>
      <c r="J20" s="4">
        <f>COUNTIFS('V15 - Secure Coding and Archite'!$F$2:$F$26,"Compliant",'V15 - Secure Coding and Archite'!$E$2:$E$26,3)</f>
        <v>5</v>
      </c>
      <c r="K20" s="5">
        <f t="shared" si="4"/>
        <v>0.625</v>
      </c>
      <c r="L20" s="4">
        <f>COUNTIF('V15 - Secure Coding and Archite'!$F$2:$F$26,"Compliant")</f>
        <v>10</v>
      </c>
      <c r="M20" s="5">
        <f t="shared" si="3"/>
        <v>0.47619047619047616</v>
      </c>
    </row>
    <row r="21" spans="1:13" ht="18" customHeight="1" x14ac:dyDescent="0.2">
      <c r="A21" s="6" t="s">
        <v>30</v>
      </c>
      <c r="B21" s="7">
        <v>17</v>
      </c>
      <c r="C21" s="7">
        <v>0</v>
      </c>
      <c r="D21" s="7" t="s">
        <v>23</v>
      </c>
      <c r="E21" s="7" t="s">
        <v>23</v>
      </c>
      <c r="F21" s="7">
        <v>16</v>
      </c>
      <c r="G21" s="7">
        <f>COUNTIFS('V16 - Security Logging and Erro'!$F$2:$F$23,"Compliant",'V16 - Security Logging and Erro'!$E$2:$E$23,2)</f>
        <v>14</v>
      </c>
      <c r="H21" s="8">
        <f t="shared" si="1"/>
        <v>0.875</v>
      </c>
      <c r="I21" s="7">
        <v>1</v>
      </c>
      <c r="J21" s="7">
        <f>COUNTIFS('V16 - Security Logging and Erro'!$F$2:$F$23,"Compliant",'V16 - Security Logging and Erro'!$E$2:$E$23,3)</f>
        <v>1</v>
      </c>
      <c r="K21" s="8">
        <f t="shared" si="4"/>
        <v>1</v>
      </c>
      <c r="L21" s="7">
        <f>COUNTIF('V16 - Security Logging and Erro'!$F$2:$F$23,"Compliant")</f>
        <v>15</v>
      </c>
      <c r="M21" s="8">
        <f t="shared" si="3"/>
        <v>0.88235294117647056</v>
      </c>
    </row>
    <row r="22" spans="1:13" ht="18" customHeight="1" x14ac:dyDescent="0.2">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1.75" customHeight="1" x14ac:dyDescent="0.2">
      <c r="A23" s="9" t="s">
        <v>32</v>
      </c>
      <c r="B23" s="10">
        <f>SUM(B6:B22)</f>
        <v>345</v>
      </c>
      <c r="C23" s="10">
        <f>SUM(C6:C22)</f>
        <v>70</v>
      </c>
      <c r="D23" s="10">
        <f>SUM(D6:D22)</f>
        <v>39</v>
      </c>
      <c r="E23" s="11">
        <f>IFERROR(AVERAGE(E6:E22),"")</f>
        <v>0.55961538461538463</v>
      </c>
      <c r="F23" s="10">
        <f>SUM(F6:F22)</f>
        <v>183</v>
      </c>
      <c r="G23" s="10">
        <f>SUM(G6:G22)</f>
        <v>58</v>
      </c>
      <c r="H23" s="11">
        <f>IFERROR(AVERAGE(H6:H22),"")</f>
        <v>0.31416844249661591</v>
      </c>
      <c r="I23" s="10">
        <f>SUM(I6:I22)</f>
        <v>92</v>
      </c>
      <c r="J23" s="10">
        <f>SUM(J6:J22)</f>
        <v>19</v>
      </c>
      <c r="K23" s="11">
        <f>IFERROR(AVERAGE(K6:K22),"")</f>
        <v>0.23288690476190477</v>
      </c>
      <c r="L23" s="10">
        <f>SUM(L6:L22)</f>
        <v>116</v>
      </c>
      <c r="M23" s="11">
        <f>IFERROR(AVERAGE(M6:M22),"")</f>
        <v>0.37489421690755015</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110" zoomScaleNormal="110" workbookViewId="0">
      <pane ySplit="1" topLeftCell="A13" activePane="bottomLeft" state="frozen"/>
      <selection pane="bottomLeft" activeCell="F28" sqref="F2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41</v>
      </c>
      <c r="B2" s="13" t="s">
        <v>42</v>
      </c>
      <c r="C2" s="13"/>
      <c r="D2" s="13"/>
      <c r="E2" s="13"/>
      <c r="F2" s="13"/>
      <c r="G2" s="13"/>
      <c r="H2" s="13"/>
    </row>
    <row r="3" spans="1:8" ht="30" customHeight="1" x14ac:dyDescent="0.2">
      <c r="A3" s="14" t="s">
        <v>41</v>
      </c>
      <c r="B3" s="14" t="s">
        <v>42</v>
      </c>
      <c r="C3" s="15" t="s">
        <v>43</v>
      </c>
      <c r="D3" s="16" t="s">
        <v>44</v>
      </c>
      <c r="E3" s="17">
        <v>2</v>
      </c>
      <c r="F3" s="18" t="s">
        <v>45</v>
      </c>
      <c r="G3" s="16"/>
      <c r="H3" s="16"/>
    </row>
    <row r="4" spans="1:8" ht="30" customHeight="1" x14ac:dyDescent="0.2">
      <c r="A4" s="19" t="s">
        <v>41</v>
      </c>
      <c r="B4" s="19" t="s">
        <v>42</v>
      </c>
      <c r="C4" s="20" t="s">
        <v>46</v>
      </c>
      <c r="D4" s="21" t="s">
        <v>47</v>
      </c>
      <c r="E4" s="17">
        <v>2</v>
      </c>
      <c r="F4" s="18" t="s">
        <v>45</v>
      </c>
      <c r="G4" s="21"/>
      <c r="H4" s="21"/>
    </row>
    <row r="5" spans="1:8" ht="18" customHeight="1" x14ac:dyDescent="0.2">
      <c r="A5" s="13" t="s">
        <v>48</v>
      </c>
      <c r="B5" s="13" t="s">
        <v>49</v>
      </c>
      <c r="C5" s="13"/>
      <c r="D5" s="13"/>
      <c r="E5" s="13"/>
      <c r="F5" s="13"/>
      <c r="G5" s="13"/>
      <c r="H5" s="13"/>
    </row>
    <row r="6" spans="1:8" ht="30" customHeight="1" x14ac:dyDescent="0.2">
      <c r="A6" s="14" t="s">
        <v>48</v>
      </c>
      <c r="B6" s="14" t="s">
        <v>49</v>
      </c>
      <c r="C6" s="15" t="s">
        <v>50</v>
      </c>
      <c r="D6" s="16" t="s">
        <v>51</v>
      </c>
      <c r="E6" s="22">
        <v>1</v>
      </c>
      <c r="F6" s="18" t="s">
        <v>156</v>
      </c>
      <c r="G6" s="16"/>
      <c r="H6" s="16"/>
    </row>
    <row r="7" spans="1:8" ht="30" customHeight="1" x14ac:dyDescent="0.2">
      <c r="A7" s="19" t="s">
        <v>48</v>
      </c>
      <c r="B7" s="19" t="s">
        <v>49</v>
      </c>
      <c r="C7" s="20" t="s">
        <v>53</v>
      </c>
      <c r="D7" s="21" t="s">
        <v>54</v>
      </c>
      <c r="E7" s="22">
        <v>1</v>
      </c>
      <c r="F7" s="18" t="s">
        <v>45</v>
      </c>
      <c r="G7" s="21" t="s">
        <v>945</v>
      </c>
      <c r="H7" s="21" t="s">
        <v>944</v>
      </c>
    </row>
    <row r="8" spans="1:8" ht="30" customHeight="1" x14ac:dyDescent="0.2">
      <c r="A8" s="14" t="s">
        <v>48</v>
      </c>
      <c r="B8" s="14" t="s">
        <v>49</v>
      </c>
      <c r="C8" s="15" t="s">
        <v>55</v>
      </c>
      <c r="D8" s="16" t="s">
        <v>56</v>
      </c>
      <c r="E8" s="22">
        <v>1</v>
      </c>
      <c r="F8" s="18" t="s">
        <v>45</v>
      </c>
      <c r="G8" s="23" t="s">
        <v>946</v>
      </c>
      <c r="H8" s="23" t="s">
        <v>947</v>
      </c>
    </row>
    <row r="9" spans="1:8" ht="30" customHeight="1" x14ac:dyDescent="0.2">
      <c r="A9" s="19" t="s">
        <v>48</v>
      </c>
      <c r="B9" s="19" t="s">
        <v>49</v>
      </c>
      <c r="C9" s="20" t="s">
        <v>57</v>
      </c>
      <c r="D9" s="21" t="s">
        <v>58</v>
      </c>
      <c r="E9" s="22">
        <v>1</v>
      </c>
      <c r="F9" s="18" t="s">
        <v>45</v>
      </c>
      <c r="G9" s="24" t="s">
        <v>59</v>
      </c>
      <c r="H9" s="24" t="s">
        <v>60</v>
      </c>
    </row>
    <row r="10" spans="1:8" ht="30" customHeight="1" x14ac:dyDescent="0.2">
      <c r="A10" s="14" t="s">
        <v>48</v>
      </c>
      <c r="B10" s="14" t="s">
        <v>49</v>
      </c>
      <c r="C10" s="15" t="s">
        <v>61</v>
      </c>
      <c r="D10" s="16" t="s">
        <v>62</v>
      </c>
      <c r="E10" s="22">
        <v>1</v>
      </c>
      <c r="F10" s="18" t="s">
        <v>156</v>
      </c>
      <c r="G10" s="16"/>
      <c r="H10" s="16"/>
    </row>
    <row r="11" spans="1:8" ht="30" customHeight="1" x14ac:dyDescent="0.2">
      <c r="A11" s="19" t="s">
        <v>48</v>
      </c>
      <c r="B11" s="19" t="s">
        <v>49</v>
      </c>
      <c r="C11" s="20" t="s">
        <v>63</v>
      </c>
      <c r="D11" s="21" t="s">
        <v>64</v>
      </c>
      <c r="E11" s="17">
        <v>2</v>
      </c>
      <c r="F11" s="18" t="s">
        <v>156</v>
      </c>
      <c r="G11" s="21"/>
      <c r="H11" s="21"/>
    </row>
    <row r="12" spans="1:8" ht="30" customHeight="1" x14ac:dyDescent="0.2">
      <c r="A12" s="14" t="s">
        <v>48</v>
      </c>
      <c r="B12" s="14" t="s">
        <v>49</v>
      </c>
      <c r="C12" s="15" t="s">
        <v>65</v>
      </c>
      <c r="D12" s="16" t="s">
        <v>66</v>
      </c>
      <c r="E12" s="17">
        <v>2</v>
      </c>
      <c r="F12" s="18" t="s">
        <v>156</v>
      </c>
      <c r="G12" s="16"/>
      <c r="H12" s="16"/>
    </row>
    <row r="13" spans="1:8" ht="30" customHeight="1" x14ac:dyDescent="0.2">
      <c r="A13" s="19" t="s">
        <v>48</v>
      </c>
      <c r="B13" s="19" t="s">
        <v>49</v>
      </c>
      <c r="C13" s="20" t="s">
        <v>67</v>
      </c>
      <c r="D13" s="21" t="s">
        <v>68</v>
      </c>
      <c r="E13" s="17">
        <v>2</v>
      </c>
      <c r="F13" s="18" t="s">
        <v>156</v>
      </c>
      <c r="G13" s="21"/>
      <c r="H13" s="21"/>
    </row>
    <row r="14" spans="1:8" ht="30" customHeight="1" x14ac:dyDescent="0.2">
      <c r="A14" s="14" t="s">
        <v>48</v>
      </c>
      <c r="B14" s="14" t="s">
        <v>49</v>
      </c>
      <c r="C14" s="15" t="s">
        <v>69</v>
      </c>
      <c r="D14" s="16" t="s">
        <v>70</v>
      </c>
      <c r="E14" s="17">
        <v>2</v>
      </c>
      <c r="F14" s="18" t="s">
        <v>156</v>
      </c>
      <c r="G14" s="16"/>
      <c r="H14" s="16"/>
    </row>
    <row r="15" spans="1:8" ht="30" customHeight="1" x14ac:dyDescent="0.2">
      <c r="A15" s="19" t="s">
        <v>48</v>
      </c>
      <c r="B15" s="19" t="s">
        <v>49</v>
      </c>
      <c r="C15" s="20" t="s">
        <v>71</v>
      </c>
      <c r="D15" s="21" t="s">
        <v>72</v>
      </c>
      <c r="E15" s="25">
        <v>3</v>
      </c>
      <c r="F15" s="18" t="s">
        <v>156</v>
      </c>
      <c r="G15" s="21"/>
      <c r="H15" s="21"/>
    </row>
    <row r="16" spans="1:8" ht="18" customHeight="1" x14ac:dyDescent="0.2">
      <c r="A16" s="13" t="s">
        <v>73</v>
      </c>
      <c r="B16" s="13" t="s">
        <v>74</v>
      </c>
      <c r="C16" s="13"/>
      <c r="D16" s="13"/>
      <c r="E16" s="13"/>
      <c r="F16" s="13"/>
      <c r="G16" s="13"/>
      <c r="H16" s="13"/>
    </row>
    <row r="17" spans="1:8" ht="30" customHeight="1" x14ac:dyDescent="0.2">
      <c r="A17" s="14" t="s">
        <v>73</v>
      </c>
      <c r="B17" s="14" t="s">
        <v>74</v>
      </c>
      <c r="C17" s="15" t="s">
        <v>75</v>
      </c>
      <c r="D17" s="16" t="s">
        <v>76</v>
      </c>
      <c r="E17" s="22">
        <v>1</v>
      </c>
      <c r="F17" s="18" t="s">
        <v>156</v>
      </c>
      <c r="G17" s="16"/>
      <c r="H17" s="16"/>
    </row>
    <row r="18" spans="1:8" ht="30" customHeight="1" x14ac:dyDescent="0.2">
      <c r="A18" s="19" t="s">
        <v>73</v>
      </c>
      <c r="B18" s="19" t="s">
        <v>74</v>
      </c>
      <c r="C18" s="20" t="s">
        <v>77</v>
      </c>
      <c r="D18" s="21" t="s">
        <v>78</v>
      </c>
      <c r="E18" s="22">
        <v>1</v>
      </c>
      <c r="F18" s="18" t="s">
        <v>156</v>
      </c>
      <c r="G18" s="21"/>
      <c r="H18" s="21"/>
    </row>
    <row r="19" spans="1:8" ht="30" customHeight="1" x14ac:dyDescent="0.2">
      <c r="A19" s="14" t="s">
        <v>73</v>
      </c>
      <c r="B19" s="14" t="s">
        <v>74</v>
      </c>
      <c r="C19" s="15" t="s">
        <v>79</v>
      </c>
      <c r="D19" s="16" t="s">
        <v>80</v>
      </c>
      <c r="E19" s="17">
        <v>2</v>
      </c>
      <c r="F19" s="18" t="s">
        <v>45</v>
      </c>
      <c r="G19" s="16"/>
      <c r="H19" s="16" t="s">
        <v>948</v>
      </c>
    </row>
    <row r="20" spans="1:8" ht="30" customHeight="1" x14ac:dyDescent="0.2">
      <c r="A20" s="19" t="s">
        <v>73</v>
      </c>
      <c r="B20" s="19" t="s">
        <v>74</v>
      </c>
      <c r="C20" s="20" t="s">
        <v>81</v>
      </c>
      <c r="D20" s="21" t="s">
        <v>82</v>
      </c>
      <c r="E20" s="17">
        <v>2</v>
      </c>
      <c r="F20" s="18" t="s">
        <v>156</v>
      </c>
      <c r="G20" s="21"/>
      <c r="H20" s="21"/>
    </row>
    <row r="21" spans="1:8" ht="30" customHeight="1" x14ac:dyDescent="0.2">
      <c r="A21" s="14" t="s">
        <v>73</v>
      </c>
      <c r="B21" s="14" t="s">
        <v>74</v>
      </c>
      <c r="C21" s="15" t="s">
        <v>83</v>
      </c>
      <c r="D21" s="16" t="s">
        <v>84</v>
      </c>
      <c r="E21" s="17">
        <v>2</v>
      </c>
      <c r="F21" s="18" t="s">
        <v>156</v>
      </c>
      <c r="G21" s="16"/>
      <c r="H21" s="16"/>
    </row>
    <row r="22" spans="1:8" ht="30" customHeight="1" x14ac:dyDescent="0.2">
      <c r="A22" s="19" t="s">
        <v>73</v>
      </c>
      <c r="B22" s="19" t="s">
        <v>74</v>
      </c>
      <c r="C22" s="20" t="s">
        <v>85</v>
      </c>
      <c r="D22" s="21" t="s">
        <v>86</v>
      </c>
      <c r="E22" s="17">
        <v>2</v>
      </c>
      <c r="F22" s="18" t="s">
        <v>156</v>
      </c>
      <c r="G22" s="21"/>
      <c r="H22" s="21"/>
    </row>
    <row r="23" spans="1:8" ht="30" customHeight="1" x14ac:dyDescent="0.2">
      <c r="A23" s="14" t="s">
        <v>73</v>
      </c>
      <c r="B23" s="14" t="s">
        <v>74</v>
      </c>
      <c r="C23" s="15" t="s">
        <v>87</v>
      </c>
      <c r="D23" s="16" t="s">
        <v>88</v>
      </c>
      <c r="E23" s="17">
        <v>2</v>
      </c>
      <c r="F23" s="18" t="s">
        <v>45</v>
      </c>
      <c r="G23" s="16"/>
      <c r="H23" s="16" t="s">
        <v>949</v>
      </c>
    </row>
    <row r="24" spans="1:8" ht="30" customHeight="1" x14ac:dyDescent="0.2">
      <c r="A24" s="19" t="s">
        <v>73</v>
      </c>
      <c r="B24" s="19" t="s">
        <v>74</v>
      </c>
      <c r="C24" s="20" t="s">
        <v>89</v>
      </c>
      <c r="D24" s="21" t="s">
        <v>90</v>
      </c>
      <c r="E24" s="17">
        <v>2</v>
      </c>
      <c r="F24" s="18" t="s">
        <v>156</v>
      </c>
      <c r="G24" s="21"/>
      <c r="H24" s="21"/>
    </row>
    <row r="25" spans="1:8" ht="30" customHeight="1" x14ac:dyDescent="0.2">
      <c r="A25" s="14" t="s">
        <v>73</v>
      </c>
      <c r="B25" s="14" t="s">
        <v>74</v>
      </c>
      <c r="C25" s="15" t="s">
        <v>91</v>
      </c>
      <c r="D25" s="16" t="s">
        <v>92</v>
      </c>
      <c r="E25" s="17">
        <v>2</v>
      </c>
      <c r="F25" s="18" t="s">
        <v>156</v>
      </c>
      <c r="G25" s="16"/>
      <c r="H25" s="16"/>
    </row>
    <row r="26" spans="1:8" ht="30" customHeight="1" x14ac:dyDescent="0.2">
      <c r="A26" s="19" t="s">
        <v>73</v>
      </c>
      <c r="B26" s="19" t="s">
        <v>74</v>
      </c>
      <c r="C26" s="20" t="s">
        <v>93</v>
      </c>
      <c r="D26" s="21" t="s">
        <v>94</v>
      </c>
      <c r="E26" s="17">
        <v>2</v>
      </c>
      <c r="F26" s="18" t="s">
        <v>156</v>
      </c>
      <c r="G26" s="21"/>
      <c r="H26" s="21"/>
    </row>
    <row r="27" spans="1:8" ht="30" customHeight="1" x14ac:dyDescent="0.2">
      <c r="A27" s="14" t="s">
        <v>73</v>
      </c>
      <c r="B27" s="14" t="s">
        <v>74</v>
      </c>
      <c r="C27" s="15" t="s">
        <v>95</v>
      </c>
      <c r="D27" s="16" t="s">
        <v>96</v>
      </c>
      <c r="E27" s="17">
        <v>2</v>
      </c>
      <c r="F27" s="18" t="s">
        <v>45</v>
      </c>
      <c r="G27" s="23" t="s">
        <v>953</v>
      </c>
      <c r="H27" s="23" t="s">
        <v>97</v>
      </c>
    </row>
    <row r="28" spans="1:8" ht="30" customHeight="1" x14ac:dyDescent="0.2">
      <c r="A28" s="19" t="s">
        <v>73</v>
      </c>
      <c r="B28" s="19" t="s">
        <v>74</v>
      </c>
      <c r="C28" s="20" t="s">
        <v>98</v>
      </c>
      <c r="D28" s="21" t="s">
        <v>99</v>
      </c>
      <c r="E28" s="25">
        <v>3</v>
      </c>
      <c r="F28" s="18" t="s">
        <v>156</v>
      </c>
      <c r="G28" s="21"/>
      <c r="H28" s="21"/>
    </row>
    <row r="29" spans="1:8" ht="18" customHeight="1" x14ac:dyDescent="0.2">
      <c r="A29" s="13" t="s">
        <v>100</v>
      </c>
      <c r="B29" s="13" t="s">
        <v>101</v>
      </c>
      <c r="C29" s="13"/>
      <c r="D29" s="13"/>
      <c r="E29" s="13"/>
      <c r="F29" s="13"/>
      <c r="G29" s="13"/>
      <c r="H29" s="13"/>
    </row>
    <row r="30" spans="1:8" ht="30" customHeight="1" x14ac:dyDescent="0.2">
      <c r="A30" s="14" t="s">
        <v>100</v>
      </c>
      <c r="B30" s="14" t="s">
        <v>101</v>
      </c>
      <c r="C30" s="15" t="s">
        <v>102</v>
      </c>
      <c r="D30" s="16" t="s">
        <v>103</v>
      </c>
      <c r="E30" s="17">
        <v>2</v>
      </c>
      <c r="F30" s="18" t="s">
        <v>156</v>
      </c>
      <c r="G30" s="16" t="s">
        <v>950</v>
      </c>
      <c r="H30" s="16"/>
    </row>
    <row r="31" spans="1:8" ht="30" customHeight="1" x14ac:dyDescent="0.2">
      <c r="A31" s="19" t="s">
        <v>100</v>
      </c>
      <c r="B31" s="19" t="s">
        <v>101</v>
      </c>
      <c r="C31" s="20" t="s">
        <v>104</v>
      </c>
      <c r="D31" s="21" t="s">
        <v>105</v>
      </c>
      <c r="E31" s="17">
        <v>2</v>
      </c>
      <c r="F31" s="18" t="s">
        <v>156</v>
      </c>
      <c r="G31" s="21" t="s">
        <v>951</v>
      </c>
      <c r="H31" s="21"/>
    </row>
    <row r="32" spans="1:8" ht="30" customHeight="1" x14ac:dyDescent="0.2">
      <c r="A32" s="14" t="s">
        <v>100</v>
      </c>
      <c r="B32" s="14" t="s">
        <v>101</v>
      </c>
      <c r="C32" s="15" t="s">
        <v>106</v>
      </c>
      <c r="D32" s="16" t="s">
        <v>107</v>
      </c>
      <c r="E32" s="17">
        <v>2</v>
      </c>
      <c r="F32" s="18" t="s">
        <v>156</v>
      </c>
      <c r="G32" s="16" t="s">
        <v>952</v>
      </c>
      <c r="H32" s="16"/>
    </row>
    <row r="33" spans="1:8" ht="18" customHeight="1" x14ac:dyDescent="0.2">
      <c r="A33" s="13" t="s">
        <v>108</v>
      </c>
      <c r="B33" s="13" t="s">
        <v>109</v>
      </c>
      <c r="C33" s="13"/>
      <c r="D33" s="13"/>
      <c r="E33" s="13"/>
      <c r="F33" s="13"/>
      <c r="G33" s="13"/>
      <c r="H33" s="13"/>
    </row>
    <row r="34" spans="1:8" ht="30" customHeight="1" x14ac:dyDescent="0.2">
      <c r="A34" s="14" t="s">
        <v>108</v>
      </c>
      <c r="B34" s="14" t="s">
        <v>109</v>
      </c>
      <c r="C34" s="15" t="s">
        <v>110</v>
      </c>
      <c r="D34" s="16" t="s">
        <v>111</v>
      </c>
      <c r="E34" s="22">
        <v>1</v>
      </c>
      <c r="F34" s="18" t="s">
        <v>156</v>
      </c>
      <c r="G34" s="16"/>
      <c r="H34" s="16"/>
    </row>
    <row r="35" spans="1:8" ht="30" customHeight="1" x14ac:dyDescent="0.2">
      <c r="A35" s="19" t="s">
        <v>108</v>
      </c>
      <c r="B35" s="19" t="s">
        <v>109</v>
      </c>
      <c r="C35" s="20" t="s">
        <v>112</v>
      </c>
      <c r="D35" s="21" t="s">
        <v>113</v>
      </c>
      <c r="E35" s="17">
        <v>2</v>
      </c>
      <c r="F35" s="18" t="s">
        <v>156</v>
      </c>
      <c r="G35" s="21"/>
      <c r="H35" s="21"/>
    </row>
    <row r="36" spans="1:8" ht="30" customHeight="1" x14ac:dyDescent="0.2">
      <c r="A36" s="14" t="s">
        <v>108</v>
      </c>
      <c r="B36" s="14" t="s">
        <v>109</v>
      </c>
      <c r="C36" s="15" t="s">
        <v>114</v>
      </c>
      <c r="D36" s="16" t="s">
        <v>115</v>
      </c>
      <c r="E36" s="25">
        <v>3</v>
      </c>
      <c r="F36" s="18" t="s">
        <v>156</v>
      </c>
      <c r="G36" s="16"/>
      <c r="H36" s="16"/>
    </row>
  </sheetData>
  <conditionalFormatting sqref="F2:F36">
    <cfRule type="cellIs" dxfId="50" priority="2" operator="equal">
      <formula>"Compliant"</formula>
    </cfRule>
    <cfRule type="cellIs" dxfId="49" priority="3" operator="equal">
      <formula>"In Progress"</formula>
    </cfRule>
    <cfRule type="cellIs" dxfId="48"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118" zoomScaleNormal="118" workbookViewId="0">
      <pane ySplit="1" topLeftCell="A9" activePane="bottomLeft" state="frozen"/>
      <selection pane="bottomLeft" activeCell="H17" sqref="H1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116</v>
      </c>
      <c r="B2" s="13" t="s">
        <v>117</v>
      </c>
      <c r="C2" s="13"/>
      <c r="D2" s="13"/>
      <c r="E2" s="13"/>
      <c r="F2" s="13"/>
      <c r="G2" s="13"/>
      <c r="H2" s="13"/>
    </row>
    <row r="3" spans="1:8" ht="30" customHeight="1" x14ac:dyDescent="0.2">
      <c r="A3" s="14" t="s">
        <v>116</v>
      </c>
      <c r="B3" s="14" t="s">
        <v>117</v>
      </c>
      <c r="C3" s="15" t="s">
        <v>118</v>
      </c>
      <c r="D3" s="16" t="s">
        <v>119</v>
      </c>
      <c r="E3" s="22">
        <v>1</v>
      </c>
      <c r="F3" s="18" t="s">
        <v>45</v>
      </c>
      <c r="G3" s="16"/>
      <c r="H3" s="16"/>
    </row>
    <row r="4" spans="1:8" ht="30" customHeight="1" x14ac:dyDescent="0.2">
      <c r="A4" s="19" t="s">
        <v>116</v>
      </c>
      <c r="B4" s="19" t="s">
        <v>117</v>
      </c>
      <c r="C4" s="20" t="s">
        <v>120</v>
      </c>
      <c r="D4" s="21" t="s">
        <v>121</v>
      </c>
      <c r="E4" s="17">
        <v>2</v>
      </c>
      <c r="F4" s="18" t="s">
        <v>45</v>
      </c>
      <c r="G4" s="21"/>
      <c r="H4" s="21"/>
    </row>
    <row r="5" spans="1:8" ht="30" customHeight="1" x14ac:dyDescent="0.2">
      <c r="A5" s="14" t="s">
        <v>116</v>
      </c>
      <c r="B5" s="14" t="s">
        <v>117</v>
      </c>
      <c r="C5" s="15" t="s">
        <v>122</v>
      </c>
      <c r="D5" s="16" t="s">
        <v>123</v>
      </c>
      <c r="E5" s="17">
        <v>2</v>
      </c>
      <c r="F5" s="18" t="s">
        <v>45</v>
      </c>
      <c r="G5" s="16"/>
      <c r="H5" s="16"/>
    </row>
    <row r="6" spans="1:8" ht="18" customHeight="1" x14ac:dyDescent="0.2">
      <c r="A6" s="13" t="s">
        <v>124</v>
      </c>
      <c r="B6" s="13" t="s">
        <v>125</v>
      </c>
      <c r="C6" s="13"/>
      <c r="D6" s="13"/>
      <c r="E6" s="13"/>
      <c r="F6" s="13"/>
      <c r="G6" s="13"/>
      <c r="H6" s="13"/>
    </row>
    <row r="7" spans="1:8" ht="30" customHeight="1" x14ac:dyDescent="0.2">
      <c r="A7" s="14" t="s">
        <v>124</v>
      </c>
      <c r="B7" s="14" t="s">
        <v>125</v>
      </c>
      <c r="C7" s="15" t="s">
        <v>126</v>
      </c>
      <c r="D7" s="16" t="s">
        <v>127</v>
      </c>
      <c r="E7" s="22">
        <v>1</v>
      </c>
      <c r="F7" s="18" t="s">
        <v>45</v>
      </c>
      <c r="G7" s="16"/>
      <c r="H7" s="16"/>
    </row>
    <row r="8" spans="1:8" ht="30" customHeight="1" x14ac:dyDescent="0.2">
      <c r="A8" s="19" t="s">
        <v>124</v>
      </c>
      <c r="B8" s="19" t="s">
        <v>125</v>
      </c>
      <c r="C8" s="20" t="s">
        <v>128</v>
      </c>
      <c r="D8" s="21" t="s">
        <v>129</v>
      </c>
      <c r="E8" s="22">
        <v>1</v>
      </c>
      <c r="F8" s="18" t="s">
        <v>45</v>
      </c>
      <c r="G8" s="21"/>
      <c r="H8" s="21"/>
    </row>
    <row r="9" spans="1:8" ht="30" customHeight="1" x14ac:dyDescent="0.2">
      <c r="A9" s="14" t="s">
        <v>124</v>
      </c>
      <c r="B9" s="14" t="s">
        <v>125</v>
      </c>
      <c r="C9" s="15" t="s">
        <v>130</v>
      </c>
      <c r="D9" s="16" t="s">
        <v>131</v>
      </c>
      <c r="E9" s="17">
        <v>2</v>
      </c>
      <c r="F9" s="18" t="s">
        <v>45</v>
      </c>
      <c r="G9" s="16"/>
      <c r="H9" s="16"/>
    </row>
    <row r="10" spans="1:8" ht="18" customHeight="1" x14ac:dyDescent="0.2">
      <c r="A10" s="13" t="s">
        <v>132</v>
      </c>
      <c r="B10" s="13" t="s">
        <v>133</v>
      </c>
      <c r="C10" s="13"/>
      <c r="D10" s="13"/>
      <c r="E10" s="13"/>
      <c r="F10" s="13"/>
      <c r="G10" s="13"/>
      <c r="H10" s="13"/>
    </row>
    <row r="11" spans="1:8" ht="30" customHeight="1" x14ac:dyDescent="0.2">
      <c r="A11" s="14" t="s">
        <v>132</v>
      </c>
      <c r="B11" s="14" t="s">
        <v>133</v>
      </c>
      <c r="C11" s="15" t="s">
        <v>134</v>
      </c>
      <c r="D11" s="16" t="s">
        <v>135</v>
      </c>
      <c r="E11" s="22">
        <v>1</v>
      </c>
      <c r="F11" s="18" t="s">
        <v>45</v>
      </c>
      <c r="G11" s="16"/>
      <c r="H11" s="16"/>
    </row>
    <row r="12" spans="1:8" ht="30" customHeight="1" x14ac:dyDescent="0.2">
      <c r="A12" s="19" t="s">
        <v>132</v>
      </c>
      <c r="B12" s="19" t="s">
        <v>133</v>
      </c>
      <c r="C12" s="20" t="s">
        <v>136</v>
      </c>
      <c r="D12" s="21" t="s">
        <v>137</v>
      </c>
      <c r="E12" s="17">
        <v>2</v>
      </c>
      <c r="F12" s="18" t="s">
        <v>45</v>
      </c>
      <c r="G12" s="24" t="s">
        <v>138</v>
      </c>
      <c r="H12" s="24" t="s">
        <v>139</v>
      </c>
    </row>
    <row r="13" spans="1:8" ht="30" customHeight="1" x14ac:dyDescent="0.2">
      <c r="A13" s="14" t="s">
        <v>132</v>
      </c>
      <c r="B13" s="14" t="s">
        <v>133</v>
      </c>
      <c r="C13" s="15" t="s">
        <v>140</v>
      </c>
      <c r="D13" s="16" t="s">
        <v>141</v>
      </c>
      <c r="E13" s="17">
        <v>2</v>
      </c>
      <c r="F13" s="18" t="s">
        <v>156</v>
      </c>
      <c r="G13" s="16"/>
      <c r="H13" s="16"/>
    </row>
    <row r="14" spans="1:8" ht="30" customHeight="1" x14ac:dyDescent="0.2">
      <c r="A14" s="19" t="s">
        <v>132</v>
      </c>
      <c r="B14" s="19" t="s">
        <v>133</v>
      </c>
      <c r="C14" s="20" t="s">
        <v>142</v>
      </c>
      <c r="D14" s="21" t="s">
        <v>143</v>
      </c>
      <c r="E14" s="17">
        <v>2</v>
      </c>
      <c r="F14" s="18" t="s">
        <v>45</v>
      </c>
      <c r="G14" s="21"/>
      <c r="H14" s="21"/>
    </row>
    <row r="15" spans="1:8" ht="30" customHeight="1" x14ac:dyDescent="0.2">
      <c r="A15" s="14" t="s">
        <v>132</v>
      </c>
      <c r="B15" s="14" t="s">
        <v>133</v>
      </c>
      <c r="C15" s="15" t="s">
        <v>144</v>
      </c>
      <c r="D15" s="16" t="s">
        <v>145</v>
      </c>
      <c r="E15" s="25">
        <v>3</v>
      </c>
      <c r="F15" s="18" t="s">
        <v>45</v>
      </c>
      <c r="G15" s="16"/>
      <c r="H15" s="16"/>
    </row>
    <row r="16" spans="1:8" ht="18" customHeight="1" x14ac:dyDescent="0.2">
      <c r="A16" s="13" t="s">
        <v>146</v>
      </c>
      <c r="B16" s="13" t="s">
        <v>147</v>
      </c>
      <c r="C16" s="13"/>
      <c r="D16" s="13"/>
      <c r="E16" s="13"/>
      <c r="F16" s="13"/>
      <c r="G16" s="13"/>
      <c r="H16" s="13"/>
    </row>
    <row r="17" spans="1:8" ht="30" customHeight="1" x14ac:dyDescent="0.2">
      <c r="A17" s="14" t="s">
        <v>146</v>
      </c>
      <c r="B17" s="14" t="s">
        <v>147</v>
      </c>
      <c r="C17" s="15" t="s">
        <v>148</v>
      </c>
      <c r="D17" s="16" t="s">
        <v>149</v>
      </c>
      <c r="E17" s="17">
        <v>2</v>
      </c>
      <c r="F17" s="18" t="s">
        <v>156</v>
      </c>
      <c r="G17" s="23"/>
      <c r="H17" s="23"/>
    </row>
    <row r="18" spans="1:8" ht="30" customHeight="1" x14ac:dyDescent="0.2">
      <c r="A18" s="19" t="s">
        <v>146</v>
      </c>
      <c r="B18" s="19" t="s">
        <v>147</v>
      </c>
      <c r="C18" s="20" t="s">
        <v>150</v>
      </c>
      <c r="D18" s="21" t="s">
        <v>151</v>
      </c>
      <c r="E18" s="25">
        <v>3</v>
      </c>
      <c r="F18" s="18" t="s">
        <v>156</v>
      </c>
      <c r="G18" s="21"/>
      <c r="H18" s="21"/>
    </row>
  </sheetData>
  <conditionalFormatting sqref="F2:F18">
    <cfRule type="cellIs" dxfId="47" priority="2" operator="equal">
      <formula>"Compliant"</formula>
    </cfRule>
    <cfRule type="cellIs" dxfId="46" priority="3" operator="equal">
      <formula>"In Progress"</formula>
    </cfRule>
    <cfRule type="cellIs" dxfId="45"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activeCell="F3" sqref="F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152</v>
      </c>
      <c r="B2" s="13" t="s">
        <v>153</v>
      </c>
      <c r="C2" s="13"/>
      <c r="D2" s="13"/>
      <c r="E2" s="13"/>
      <c r="F2" s="13"/>
      <c r="G2" s="13"/>
      <c r="H2" s="13"/>
    </row>
    <row r="3" spans="1:8" ht="30" customHeight="1" x14ac:dyDescent="0.2">
      <c r="A3" s="14" t="s">
        <v>152</v>
      </c>
      <c r="B3" s="14" t="s">
        <v>153</v>
      </c>
      <c r="C3" s="15" t="s">
        <v>154</v>
      </c>
      <c r="D3" s="16" t="s">
        <v>155</v>
      </c>
      <c r="E3" s="25">
        <v>3</v>
      </c>
      <c r="F3" s="18" t="s">
        <v>156</v>
      </c>
      <c r="G3" s="16"/>
      <c r="H3" s="16"/>
    </row>
    <row r="4" spans="1:8" ht="18" customHeight="1" x14ac:dyDescent="0.2">
      <c r="A4" s="13" t="s">
        <v>157</v>
      </c>
      <c r="B4" s="13" t="s">
        <v>158</v>
      </c>
      <c r="C4" s="13"/>
      <c r="D4" s="13"/>
      <c r="E4" s="13"/>
      <c r="F4" s="18" t="s">
        <v>156</v>
      </c>
      <c r="G4" s="13"/>
      <c r="H4" s="13"/>
    </row>
    <row r="5" spans="1:8" ht="30" customHeight="1" x14ac:dyDescent="0.2">
      <c r="A5" s="14" t="s">
        <v>157</v>
      </c>
      <c r="B5" s="14" t="s">
        <v>158</v>
      </c>
      <c r="C5" s="15" t="s">
        <v>159</v>
      </c>
      <c r="D5" s="16" t="s">
        <v>160</v>
      </c>
      <c r="E5" s="22">
        <v>1</v>
      </c>
      <c r="F5" s="18" t="s">
        <v>156</v>
      </c>
      <c r="G5" s="16"/>
      <c r="H5" s="16"/>
    </row>
    <row r="6" spans="1:8" ht="30" customHeight="1" x14ac:dyDescent="0.2">
      <c r="A6" s="19" t="s">
        <v>157</v>
      </c>
      <c r="B6" s="19" t="s">
        <v>158</v>
      </c>
      <c r="C6" s="20" t="s">
        <v>161</v>
      </c>
      <c r="D6" s="21" t="s">
        <v>162</v>
      </c>
      <c r="E6" s="22">
        <v>1</v>
      </c>
      <c r="F6" s="18" t="s">
        <v>156</v>
      </c>
      <c r="G6" s="21"/>
      <c r="H6" s="21"/>
    </row>
    <row r="7" spans="1:8" ht="30" customHeight="1" x14ac:dyDescent="0.2">
      <c r="A7" s="14" t="s">
        <v>157</v>
      </c>
      <c r="B7" s="14" t="s">
        <v>158</v>
      </c>
      <c r="C7" s="15" t="s">
        <v>163</v>
      </c>
      <c r="D7" s="16" t="s">
        <v>164</v>
      </c>
      <c r="E7" s="25">
        <v>3</v>
      </c>
      <c r="F7" s="18" t="s">
        <v>156</v>
      </c>
      <c r="G7" s="16"/>
      <c r="H7" s="16"/>
    </row>
    <row r="8" spans="1:8" ht="18" customHeight="1" x14ac:dyDescent="0.2">
      <c r="A8" s="13" t="s">
        <v>165</v>
      </c>
      <c r="B8" s="13" t="s">
        <v>166</v>
      </c>
      <c r="C8" s="13"/>
      <c r="D8" s="13"/>
      <c r="E8" s="13"/>
      <c r="F8" s="18" t="s">
        <v>156</v>
      </c>
      <c r="G8" s="13"/>
      <c r="H8" s="13"/>
    </row>
    <row r="9" spans="1:8" ht="30" customHeight="1" x14ac:dyDescent="0.2">
      <c r="A9" s="14" t="s">
        <v>165</v>
      </c>
      <c r="B9" s="14" t="s">
        <v>166</v>
      </c>
      <c r="C9" s="15" t="s">
        <v>167</v>
      </c>
      <c r="D9" s="16" t="s">
        <v>168</v>
      </c>
      <c r="E9" s="22">
        <v>1</v>
      </c>
      <c r="F9" s="18" t="s">
        <v>156</v>
      </c>
      <c r="G9" s="16"/>
      <c r="H9" s="16"/>
    </row>
    <row r="10" spans="1:8" ht="30" customHeight="1" x14ac:dyDescent="0.2">
      <c r="A10" s="19" t="s">
        <v>165</v>
      </c>
      <c r="B10" s="19" t="s">
        <v>166</v>
      </c>
      <c r="C10" s="20" t="s">
        <v>169</v>
      </c>
      <c r="D10" s="21" t="s">
        <v>170</v>
      </c>
      <c r="E10" s="17">
        <v>2</v>
      </c>
      <c r="F10" s="18" t="s">
        <v>156</v>
      </c>
      <c r="G10" s="21"/>
      <c r="H10" s="21"/>
    </row>
    <row r="11" spans="1:8" ht="30" customHeight="1" x14ac:dyDescent="0.2">
      <c r="A11" s="14" t="s">
        <v>165</v>
      </c>
      <c r="B11" s="14" t="s">
        <v>166</v>
      </c>
      <c r="C11" s="15" t="s">
        <v>171</v>
      </c>
      <c r="D11" s="16" t="s">
        <v>172</v>
      </c>
      <c r="E11" s="17">
        <v>2</v>
      </c>
      <c r="F11" s="18" t="s">
        <v>156</v>
      </c>
      <c r="G11" s="16"/>
      <c r="H11" s="16"/>
    </row>
    <row r="12" spans="1:8" ht="30" customHeight="1" x14ac:dyDescent="0.2">
      <c r="A12" s="19" t="s">
        <v>165</v>
      </c>
      <c r="B12" s="19" t="s">
        <v>166</v>
      </c>
      <c r="C12" s="20" t="s">
        <v>173</v>
      </c>
      <c r="D12" s="21" t="s">
        <v>174</v>
      </c>
      <c r="E12" s="17">
        <v>2</v>
      </c>
      <c r="F12" s="18" t="s">
        <v>156</v>
      </c>
      <c r="G12" s="21"/>
      <c r="H12" s="21"/>
    </row>
    <row r="13" spans="1:8" ht="30" customHeight="1" x14ac:dyDescent="0.2">
      <c r="A13" s="14" t="s">
        <v>165</v>
      </c>
      <c r="B13" s="14" t="s">
        <v>166</v>
      </c>
      <c r="C13" s="15" t="s">
        <v>175</v>
      </c>
      <c r="D13" s="16" t="s">
        <v>176</v>
      </c>
      <c r="E13" s="25">
        <v>3</v>
      </c>
      <c r="F13" s="18" t="s">
        <v>156</v>
      </c>
      <c r="G13" s="16"/>
      <c r="H13" s="16"/>
    </row>
    <row r="14" spans="1:8" ht="18" customHeight="1" x14ac:dyDescent="0.2">
      <c r="A14" s="13" t="s">
        <v>177</v>
      </c>
      <c r="B14" s="13" t="s">
        <v>178</v>
      </c>
      <c r="C14" s="13"/>
      <c r="D14" s="13"/>
      <c r="E14" s="13"/>
      <c r="F14" s="18" t="s">
        <v>156</v>
      </c>
      <c r="G14" s="13"/>
      <c r="H14" s="13"/>
    </row>
    <row r="15" spans="1:8" ht="30" customHeight="1" x14ac:dyDescent="0.2">
      <c r="A15" s="14" t="s">
        <v>177</v>
      </c>
      <c r="B15" s="14" t="s">
        <v>178</v>
      </c>
      <c r="C15" s="15" t="s">
        <v>179</v>
      </c>
      <c r="D15" s="16" t="s">
        <v>180</v>
      </c>
      <c r="E15" s="22">
        <v>1</v>
      </c>
      <c r="F15" s="18" t="s">
        <v>156</v>
      </c>
      <c r="G15" s="16"/>
      <c r="H15" s="16"/>
    </row>
    <row r="16" spans="1:8" ht="30" customHeight="1" x14ac:dyDescent="0.2">
      <c r="A16" s="19" t="s">
        <v>177</v>
      </c>
      <c r="B16" s="19" t="s">
        <v>178</v>
      </c>
      <c r="C16" s="20" t="s">
        <v>181</v>
      </c>
      <c r="D16" s="21" t="s">
        <v>182</v>
      </c>
      <c r="E16" s="22">
        <v>1</v>
      </c>
      <c r="F16" s="18" t="s">
        <v>156</v>
      </c>
      <c r="G16" s="21"/>
      <c r="H16" s="21"/>
    </row>
    <row r="17" spans="1:8" ht="30" customHeight="1" x14ac:dyDescent="0.2">
      <c r="A17" s="14" t="s">
        <v>177</v>
      </c>
      <c r="B17" s="14" t="s">
        <v>178</v>
      </c>
      <c r="C17" s="15" t="s">
        <v>183</v>
      </c>
      <c r="D17" s="16" t="s">
        <v>184</v>
      </c>
      <c r="E17" s="17">
        <v>2</v>
      </c>
      <c r="F17" s="18" t="s">
        <v>156</v>
      </c>
      <c r="G17" s="16"/>
      <c r="H17" s="16"/>
    </row>
    <row r="18" spans="1:8" ht="30" customHeight="1" x14ac:dyDescent="0.2">
      <c r="A18" s="19" t="s">
        <v>177</v>
      </c>
      <c r="B18" s="19" t="s">
        <v>178</v>
      </c>
      <c r="C18" s="20" t="s">
        <v>185</v>
      </c>
      <c r="D18" s="21" t="s">
        <v>186</v>
      </c>
      <c r="E18" s="17">
        <v>2</v>
      </c>
      <c r="F18" s="18" t="s">
        <v>156</v>
      </c>
      <c r="G18" s="21"/>
      <c r="H18" s="21"/>
    </row>
    <row r="19" spans="1:8" ht="30" customHeight="1" x14ac:dyDescent="0.2">
      <c r="A19" s="14" t="s">
        <v>177</v>
      </c>
      <c r="B19" s="14" t="s">
        <v>178</v>
      </c>
      <c r="C19" s="15" t="s">
        <v>187</v>
      </c>
      <c r="D19" s="16" t="s">
        <v>188</v>
      </c>
      <c r="E19" s="17">
        <v>2</v>
      </c>
      <c r="F19" s="18" t="s">
        <v>156</v>
      </c>
      <c r="G19" s="16"/>
      <c r="H19" s="16"/>
    </row>
    <row r="20" spans="1:8" ht="30" customHeight="1" x14ac:dyDescent="0.2">
      <c r="A20" s="19" t="s">
        <v>177</v>
      </c>
      <c r="B20" s="19" t="s">
        <v>178</v>
      </c>
      <c r="C20" s="20" t="s">
        <v>189</v>
      </c>
      <c r="D20" s="21" t="s">
        <v>190</v>
      </c>
      <c r="E20" s="17">
        <v>2</v>
      </c>
      <c r="F20" s="18" t="s">
        <v>156</v>
      </c>
      <c r="G20" s="21"/>
      <c r="H20" s="21"/>
    </row>
    <row r="21" spans="1:8" ht="30" customHeight="1" x14ac:dyDescent="0.2">
      <c r="A21" s="14" t="s">
        <v>177</v>
      </c>
      <c r="B21" s="14" t="s">
        <v>178</v>
      </c>
      <c r="C21" s="15" t="s">
        <v>191</v>
      </c>
      <c r="D21" s="16" t="s">
        <v>192</v>
      </c>
      <c r="E21" s="25">
        <v>3</v>
      </c>
      <c r="F21" s="18" t="s">
        <v>156</v>
      </c>
      <c r="G21" s="16"/>
      <c r="H21" s="16"/>
    </row>
    <row r="22" spans="1:8" ht="30" customHeight="1" x14ac:dyDescent="0.2">
      <c r="A22" s="19" t="s">
        <v>177</v>
      </c>
      <c r="B22" s="19" t="s">
        <v>178</v>
      </c>
      <c r="C22" s="20" t="s">
        <v>193</v>
      </c>
      <c r="D22" s="21" t="s">
        <v>194</v>
      </c>
      <c r="E22" s="25">
        <v>3</v>
      </c>
      <c r="F22" s="18" t="s">
        <v>156</v>
      </c>
      <c r="G22" s="21"/>
      <c r="H22" s="21"/>
    </row>
    <row r="23" spans="1:8" ht="18" customHeight="1" x14ac:dyDescent="0.2">
      <c r="A23" s="13" t="s">
        <v>195</v>
      </c>
      <c r="B23" s="13" t="s">
        <v>196</v>
      </c>
      <c r="C23" s="13"/>
      <c r="D23" s="13"/>
      <c r="E23" s="13"/>
      <c r="F23" s="18" t="s">
        <v>156</v>
      </c>
      <c r="G23" s="13"/>
      <c r="H23" s="13"/>
    </row>
    <row r="24" spans="1:8" ht="30" customHeight="1" x14ac:dyDescent="0.2">
      <c r="A24" s="14" t="s">
        <v>195</v>
      </c>
      <c r="B24" s="14" t="s">
        <v>196</v>
      </c>
      <c r="C24" s="15" t="s">
        <v>197</v>
      </c>
      <c r="D24" s="16" t="s">
        <v>198</v>
      </c>
      <c r="E24" s="22">
        <v>1</v>
      </c>
      <c r="F24" s="18" t="s">
        <v>156</v>
      </c>
      <c r="G24" s="16"/>
      <c r="H24" s="16"/>
    </row>
    <row r="25" spans="1:8" ht="30" customHeight="1" x14ac:dyDescent="0.2">
      <c r="A25" s="19" t="s">
        <v>195</v>
      </c>
      <c r="B25" s="19" t="s">
        <v>196</v>
      </c>
      <c r="C25" s="20" t="s">
        <v>199</v>
      </c>
      <c r="D25" s="21" t="s">
        <v>200</v>
      </c>
      <c r="E25" s="22">
        <v>1</v>
      </c>
      <c r="F25" s="18" t="s">
        <v>156</v>
      </c>
      <c r="G25" s="21"/>
      <c r="H25" s="21"/>
    </row>
    <row r="26" spans="1:8" ht="30" customHeight="1" x14ac:dyDescent="0.2">
      <c r="A26" s="14" t="s">
        <v>195</v>
      </c>
      <c r="B26" s="14" t="s">
        <v>196</v>
      </c>
      <c r="C26" s="15" t="s">
        <v>201</v>
      </c>
      <c r="D26" s="16" t="s">
        <v>202</v>
      </c>
      <c r="E26" s="22">
        <v>1</v>
      </c>
      <c r="F26" s="18" t="s">
        <v>156</v>
      </c>
      <c r="G26" s="16"/>
      <c r="H26" s="16"/>
    </row>
    <row r="27" spans="1:8" ht="30" customHeight="1" x14ac:dyDescent="0.2">
      <c r="A27" s="19" t="s">
        <v>195</v>
      </c>
      <c r="B27" s="19" t="s">
        <v>196</v>
      </c>
      <c r="C27" s="20" t="s">
        <v>203</v>
      </c>
      <c r="D27" s="21" t="s">
        <v>204</v>
      </c>
      <c r="E27" s="17">
        <v>2</v>
      </c>
      <c r="F27" s="18" t="s">
        <v>156</v>
      </c>
      <c r="G27" s="21"/>
      <c r="H27" s="21"/>
    </row>
    <row r="28" spans="1:8" ht="30" customHeight="1" x14ac:dyDescent="0.2">
      <c r="A28" s="14" t="s">
        <v>195</v>
      </c>
      <c r="B28" s="14" t="s">
        <v>196</v>
      </c>
      <c r="C28" s="15" t="s">
        <v>205</v>
      </c>
      <c r="D28" s="16" t="s">
        <v>206</v>
      </c>
      <c r="E28" s="17">
        <v>2</v>
      </c>
      <c r="F28" s="18" t="s">
        <v>156</v>
      </c>
      <c r="G28" s="16"/>
      <c r="H28" s="16"/>
    </row>
    <row r="29" spans="1:8" ht="30" customHeight="1" x14ac:dyDescent="0.2">
      <c r="A29" s="19" t="s">
        <v>195</v>
      </c>
      <c r="B29" s="19" t="s">
        <v>196</v>
      </c>
      <c r="C29" s="20" t="s">
        <v>207</v>
      </c>
      <c r="D29" s="21" t="s">
        <v>208</v>
      </c>
      <c r="E29" s="25">
        <v>3</v>
      </c>
      <c r="F29" s="18" t="s">
        <v>156</v>
      </c>
      <c r="G29" s="21"/>
      <c r="H29" s="21"/>
    </row>
    <row r="30" spans="1:8" ht="30" customHeight="1" x14ac:dyDescent="0.2">
      <c r="A30" s="14" t="s">
        <v>195</v>
      </c>
      <c r="B30" s="14" t="s">
        <v>196</v>
      </c>
      <c r="C30" s="15" t="s">
        <v>209</v>
      </c>
      <c r="D30" s="16" t="s">
        <v>210</v>
      </c>
      <c r="E30" s="25">
        <v>3</v>
      </c>
      <c r="F30" s="18" t="s">
        <v>156</v>
      </c>
      <c r="G30" s="16"/>
      <c r="H30" s="16"/>
    </row>
    <row r="31" spans="1:8" ht="30" customHeight="1" x14ac:dyDescent="0.2">
      <c r="A31" s="19" t="s">
        <v>195</v>
      </c>
      <c r="B31" s="19" t="s">
        <v>196</v>
      </c>
      <c r="C31" s="20" t="s">
        <v>211</v>
      </c>
      <c r="D31" s="21" t="s">
        <v>212</v>
      </c>
      <c r="E31" s="25">
        <v>3</v>
      </c>
      <c r="F31" s="18" t="s">
        <v>156</v>
      </c>
      <c r="G31" s="21"/>
      <c r="H31" s="21"/>
    </row>
    <row r="32" spans="1:8" ht="18" customHeight="1" x14ac:dyDescent="0.2">
      <c r="A32" s="13" t="s">
        <v>213</v>
      </c>
      <c r="B32" s="13" t="s">
        <v>214</v>
      </c>
      <c r="C32" s="13"/>
      <c r="D32" s="13"/>
      <c r="E32" s="13"/>
      <c r="F32" s="18" t="s">
        <v>156</v>
      </c>
      <c r="G32" s="13"/>
      <c r="H32" s="13"/>
    </row>
    <row r="33" spans="1:8" ht="30" customHeight="1" x14ac:dyDescent="0.2">
      <c r="A33" s="14" t="s">
        <v>213</v>
      </c>
      <c r="B33" s="14" t="s">
        <v>214</v>
      </c>
      <c r="C33" s="15" t="s">
        <v>215</v>
      </c>
      <c r="D33" s="16" t="s">
        <v>216</v>
      </c>
      <c r="E33" s="25">
        <v>3</v>
      </c>
      <c r="F33" s="18" t="s">
        <v>156</v>
      </c>
      <c r="G33" s="16"/>
      <c r="H33" s="16"/>
    </row>
    <row r="34" spans="1:8" ht="18" customHeight="1" x14ac:dyDescent="0.2">
      <c r="A34" s="13" t="s">
        <v>217</v>
      </c>
      <c r="B34" s="13" t="s">
        <v>218</v>
      </c>
      <c r="C34" s="13"/>
      <c r="D34" s="13"/>
      <c r="E34" s="13"/>
      <c r="F34" s="18" t="s">
        <v>156</v>
      </c>
      <c r="G34" s="13"/>
      <c r="H34" s="13"/>
    </row>
    <row r="35" spans="1:8" ht="30" customHeight="1" x14ac:dyDescent="0.2">
      <c r="A35" s="14" t="s">
        <v>217</v>
      </c>
      <c r="B35" s="14" t="s">
        <v>218</v>
      </c>
      <c r="C35" s="15" t="s">
        <v>219</v>
      </c>
      <c r="D35" s="16" t="s">
        <v>220</v>
      </c>
      <c r="E35" s="17">
        <v>2</v>
      </c>
      <c r="F35" s="18" t="s">
        <v>156</v>
      </c>
      <c r="G35" s="16"/>
      <c r="H35" s="16"/>
    </row>
    <row r="36" spans="1:8" ht="30" customHeight="1" x14ac:dyDescent="0.2">
      <c r="A36" s="19" t="s">
        <v>217</v>
      </c>
      <c r="B36" s="19" t="s">
        <v>218</v>
      </c>
      <c r="C36" s="20" t="s">
        <v>221</v>
      </c>
      <c r="D36" s="21" t="s">
        <v>222</v>
      </c>
      <c r="E36" s="17">
        <v>2</v>
      </c>
      <c r="F36" s="18" t="s">
        <v>156</v>
      </c>
      <c r="G36" s="21"/>
      <c r="H36" s="21"/>
    </row>
    <row r="37" spans="1:8" ht="30" customHeight="1" x14ac:dyDescent="0.2">
      <c r="A37" s="14" t="s">
        <v>217</v>
      </c>
      <c r="B37" s="14" t="s">
        <v>218</v>
      </c>
      <c r="C37" s="15" t="s">
        <v>223</v>
      </c>
      <c r="D37" s="16" t="s">
        <v>224</v>
      </c>
      <c r="E37" s="25">
        <v>3</v>
      </c>
      <c r="F37" s="18" t="s">
        <v>156</v>
      </c>
      <c r="G37" s="16"/>
      <c r="H37" s="16"/>
    </row>
    <row r="38" spans="1:8" ht="30" customHeight="1" x14ac:dyDescent="0.2">
      <c r="A38" s="19" t="s">
        <v>217</v>
      </c>
      <c r="B38" s="19" t="s">
        <v>218</v>
      </c>
      <c r="C38" s="20" t="s">
        <v>225</v>
      </c>
      <c r="D38" s="21" t="s">
        <v>226</v>
      </c>
      <c r="E38" s="25">
        <v>3</v>
      </c>
      <c r="F38" s="18" t="s">
        <v>156</v>
      </c>
      <c r="G38" s="21"/>
      <c r="H38" s="21"/>
    </row>
    <row r="39" spans="1:8" ht="30" customHeight="1" x14ac:dyDescent="0.2">
      <c r="A39" s="14" t="s">
        <v>217</v>
      </c>
      <c r="B39" s="14" t="s">
        <v>218</v>
      </c>
      <c r="C39" s="15" t="s">
        <v>227</v>
      </c>
      <c r="D39" s="16" t="s">
        <v>228</v>
      </c>
      <c r="E39" s="25">
        <v>3</v>
      </c>
      <c r="F39" s="18" t="s">
        <v>156</v>
      </c>
      <c r="G39" s="16"/>
      <c r="H39" s="16"/>
    </row>
  </sheetData>
  <conditionalFormatting sqref="F2:F39">
    <cfRule type="cellIs" dxfId="44" priority="2" operator="equal">
      <formula>"Compliant"</formula>
    </cfRule>
    <cfRule type="cellIs" dxfId="43" priority="3" operator="equal">
      <formula>"In Progress"</formula>
    </cfRule>
    <cfRule type="cellIs" dxfId="42"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109" zoomScaleNormal="109" workbookViewId="0">
      <pane ySplit="1" topLeftCell="A9" activePane="bottomLeft" state="frozen"/>
      <selection pane="bottomLeft" activeCell="F26" sqref="F2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229</v>
      </c>
      <c r="B2" s="13" t="s">
        <v>230</v>
      </c>
      <c r="C2" s="13"/>
      <c r="D2" s="13"/>
      <c r="E2" s="13"/>
      <c r="F2" s="13"/>
      <c r="G2" s="13"/>
      <c r="H2" s="13"/>
    </row>
    <row r="3" spans="1:8" ht="30" customHeight="1" x14ac:dyDescent="0.2">
      <c r="A3" s="14" t="s">
        <v>229</v>
      </c>
      <c r="B3" s="14" t="s">
        <v>230</v>
      </c>
      <c r="C3" s="15" t="s">
        <v>231</v>
      </c>
      <c r="D3" s="16" t="s">
        <v>232</v>
      </c>
      <c r="E3" s="22">
        <v>1</v>
      </c>
      <c r="F3" s="18" t="s">
        <v>45</v>
      </c>
      <c r="G3" s="16"/>
      <c r="H3" s="16"/>
    </row>
    <row r="4" spans="1:8" ht="30" customHeight="1" x14ac:dyDescent="0.2">
      <c r="A4" s="19" t="s">
        <v>229</v>
      </c>
      <c r="B4" s="19" t="s">
        <v>230</v>
      </c>
      <c r="C4" s="20" t="s">
        <v>233</v>
      </c>
      <c r="D4" s="21" t="s">
        <v>234</v>
      </c>
      <c r="E4" s="17">
        <v>2</v>
      </c>
      <c r="F4" s="18" t="s">
        <v>156</v>
      </c>
      <c r="G4" s="21"/>
      <c r="H4" s="21"/>
    </row>
    <row r="5" spans="1:8" ht="30" customHeight="1" x14ac:dyDescent="0.2">
      <c r="A5" s="14" t="s">
        <v>229</v>
      </c>
      <c r="B5" s="14" t="s">
        <v>230</v>
      </c>
      <c r="C5" s="15" t="s">
        <v>235</v>
      </c>
      <c r="D5" s="16" t="s">
        <v>236</v>
      </c>
      <c r="E5" s="17">
        <v>2</v>
      </c>
      <c r="F5" s="18" t="s">
        <v>156</v>
      </c>
      <c r="G5" s="16"/>
      <c r="H5" s="16"/>
    </row>
    <row r="6" spans="1:8" ht="30" customHeight="1" x14ac:dyDescent="0.2">
      <c r="A6" s="19" t="s">
        <v>229</v>
      </c>
      <c r="B6" s="19" t="s">
        <v>230</v>
      </c>
      <c r="C6" s="20" t="s">
        <v>237</v>
      </c>
      <c r="D6" s="21" t="s">
        <v>238</v>
      </c>
      <c r="E6" s="25">
        <v>3</v>
      </c>
      <c r="F6" s="18" t="s">
        <v>156</v>
      </c>
      <c r="G6" s="24"/>
      <c r="H6" s="24"/>
    </row>
    <row r="7" spans="1:8" ht="30" customHeight="1" x14ac:dyDescent="0.2">
      <c r="A7" s="14" t="s">
        <v>229</v>
      </c>
      <c r="B7" s="14" t="s">
        <v>230</v>
      </c>
      <c r="C7" s="15" t="s">
        <v>239</v>
      </c>
      <c r="D7" s="16" t="s">
        <v>240</v>
      </c>
      <c r="E7" s="25">
        <v>3</v>
      </c>
      <c r="F7" s="18" t="s">
        <v>156</v>
      </c>
      <c r="G7" s="16"/>
      <c r="H7" s="16"/>
    </row>
    <row r="8" spans="1:8" ht="18" customHeight="1" x14ac:dyDescent="0.2">
      <c r="A8" s="13" t="s">
        <v>241</v>
      </c>
      <c r="B8" s="13" t="s">
        <v>242</v>
      </c>
      <c r="C8" s="13"/>
      <c r="D8" s="13"/>
      <c r="E8" s="13"/>
      <c r="F8" s="13"/>
      <c r="G8" s="13"/>
      <c r="H8" s="13"/>
    </row>
    <row r="9" spans="1:8" ht="30" customHeight="1" x14ac:dyDescent="0.2">
      <c r="A9" s="14" t="s">
        <v>241</v>
      </c>
      <c r="B9" s="14" t="s">
        <v>242</v>
      </c>
      <c r="C9" s="15" t="s">
        <v>243</v>
      </c>
      <c r="D9" s="16" t="s">
        <v>244</v>
      </c>
      <c r="E9" s="17">
        <v>2</v>
      </c>
      <c r="F9" s="18" t="s">
        <v>45</v>
      </c>
      <c r="G9" s="23" t="s">
        <v>954</v>
      </c>
      <c r="H9" s="23"/>
    </row>
    <row r="10" spans="1:8" ht="30" customHeight="1" x14ac:dyDescent="0.2">
      <c r="A10" s="19" t="s">
        <v>241</v>
      </c>
      <c r="B10" s="19" t="s">
        <v>242</v>
      </c>
      <c r="C10" s="20" t="s">
        <v>245</v>
      </c>
      <c r="D10" s="21" t="s">
        <v>246</v>
      </c>
      <c r="E10" s="25">
        <v>3</v>
      </c>
      <c r="F10" s="18" t="s">
        <v>45</v>
      </c>
      <c r="G10" s="21"/>
      <c r="H10" s="21"/>
    </row>
    <row r="11" spans="1:8" ht="30" customHeight="1" x14ac:dyDescent="0.2">
      <c r="A11" s="14" t="s">
        <v>241</v>
      </c>
      <c r="B11" s="14" t="s">
        <v>242</v>
      </c>
      <c r="C11" s="15" t="s">
        <v>247</v>
      </c>
      <c r="D11" s="16" t="s">
        <v>248</v>
      </c>
      <c r="E11" s="25">
        <v>3</v>
      </c>
      <c r="F11" s="18" t="s">
        <v>45</v>
      </c>
      <c r="G11" s="16"/>
      <c r="H11" s="16"/>
    </row>
    <row r="12" spans="1:8" ht="30" customHeight="1" x14ac:dyDescent="0.2">
      <c r="A12" s="19" t="s">
        <v>241</v>
      </c>
      <c r="B12" s="19" t="s">
        <v>242</v>
      </c>
      <c r="C12" s="20" t="s">
        <v>249</v>
      </c>
      <c r="D12" s="21" t="s">
        <v>250</v>
      </c>
      <c r="E12" s="25">
        <v>3</v>
      </c>
      <c r="F12" s="18" t="s">
        <v>45</v>
      </c>
      <c r="G12" s="21"/>
      <c r="H12" s="21"/>
    </row>
    <row r="13" spans="1:8" ht="30" customHeight="1" x14ac:dyDescent="0.2">
      <c r="A13" s="14" t="s">
        <v>241</v>
      </c>
      <c r="B13" s="14" t="s">
        <v>242</v>
      </c>
      <c r="C13" s="15" t="s">
        <v>251</v>
      </c>
      <c r="D13" s="16" t="s">
        <v>252</v>
      </c>
      <c r="E13" s="25">
        <v>3</v>
      </c>
      <c r="F13" s="18" t="s">
        <v>45</v>
      </c>
      <c r="G13" s="16"/>
      <c r="H13" s="16"/>
    </row>
    <row r="14" spans="1:8" ht="18" customHeight="1" x14ac:dyDescent="0.2">
      <c r="A14" s="13" t="s">
        <v>253</v>
      </c>
      <c r="B14" s="13" t="s">
        <v>254</v>
      </c>
      <c r="C14" s="13"/>
      <c r="D14" s="13"/>
      <c r="E14" s="13"/>
      <c r="F14" s="13"/>
      <c r="G14" s="13"/>
      <c r="H14" s="13"/>
    </row>
    <row r="15" spans="1:8" ht="30" customHeight="1" x14ac:dyDescent="0.2">
      <c r="A15" s="14" t="s">
        <v>253</v>
      </c>
      <c r="B15" s="14" t="s">
        <v>254</v>
      </c>
      <c r="C15" s="15" t="s">
        <v>255</v>
      </c>
      <c r="D15" s="16" t="s">
        <v>256</v>
      </c>
      <c r="E15" s="17">
        <v>2</v>
      </c>
      <c r="F15" s="18" t="s">
        <v>156</v>
      </c>
      <c r="G15" s="16"/>
      <c r="H15" s="16"/>
    </row>
    <row r="16" spans="1:8" ht="30" customHeight="1" x14ac:dyDescent="0.2">
      <c r="A16" s="19" t="s">
        <v>253</v>
      </c>
      <c r="B16" s="19" t="s">
        <v>254</v>
      </c>
      <c r="C16" s="20" t="s">
        <v>257</v>
      </c>
      <c r="D16" s="21" t="s">
        <v>258</v>
      </c>
      <c r="E16" s="17">
        <v>2</v>
      </c>
      <c r="F16" s="18" t="s">
        <v>156</v>
      </c>
      <c r="G16" s="21"/>
      <c r="H16" s="21"/>
    </row>
    <row r="17" spans="1:8" ht="18" customHeight="1" x14ac:dyDescent="0.2">
      <c r="A17" s="13" t="s">
        <v>259</v>
      </c>
      <c r="B17" s="13" t="s">
        <v>260</v>
      </c>
      <c r="C17" s="13"/>
      <c r="D17" s="13"/>
      <c r="E17" s="13"/>
      <c r="F17" s="13"/>
      <c r="G17" s="13"/>
      <c r="H17" s="13"/>
    </row>
    <row r="18" spans="1:8" ht="30" customHeight="1" x14ac:dyDescent="0.2">
      <c r="A18" s="14" t="s">
        <v>259</v>
      </c>
      <c r="B18" s="14" t="s">
        <v>260</v>
      </c>
      <c r="C18" s="15" t="s">
        <v>261</v>
      </c>
      <c r="D18" s="16" t="s">
        <v>262</v>
      </c>
      <c r="E18" s="22">
        <v>1</v>
      </c>
      <c r="F18" s="18" t="s">
        <v>156</v>
      </c>
      <c r="G18" s="16"/>
      <c r="H18" s="16"/>
    </row>
    <row r="19" spans="1:8" ht="30" customHeight="1" x14ac:dyDescent="0.2">
      <c r="A19" s="19" t="s">
        <v>259</v>
      </c>
      <c r="B19" s="19" t="s">
        <v>260</v>
      </c>
      <c r="C19" s="20" t="s">
        <v>263</v>
      </c>
      <c r="D19" s="21" t="s">
        <v>264</v>
      </c>
      <c r="E19" s="17">
        <v>2</v>
      </c>
      <c r="F19" s="18" t="s">
        <v>156</v>
      </c>
      <c r="G19" s="21"/>
      <c r="H19" s="21"/>
    </row>
    <row r="20" spans="1:8" ht="30" customHeight="1" x14ac:dyDescent="0.2">
      <c r="A20" s="14" t="s">
        <v>259</v>
      </c>
      <c r="B20" s="14" t="s">
        <v>260</v>
      </c>
      <c r="C20" s="15" t="s">
        <v>265</v>
      </c>
      <c r="D20" s="16" t="s">
        <v>266</v>
      </c>
      <c r="E20" s="17">
        <v>2</v>
      </c>
      <c r="F20" s="18" t="s">
        <v>156</v>
      </c>
      <c r="G20" s="16"/>
      <c r="H20" s="16"/>
    </row>
    <row r="21" spans="1:8" ht="30" customHeight="1" x14ac:dyDescent="0.2">
      <c r="A21" s="19" t="s">
        <v>259</v>
      </c>
      <c r="B21" s="19" t="s">
        <v>260</v>
      </c>
      <c r="C21" s="20" t="s">
        <v>267</v>
      </c>
      <c r="D21" s="21" t="s">
        <v>268</v>
      </c>
      <c r="E21" s="17">
        <v>2</v>
      </c>
      <c r="F21" s="18" t="s">
        <v>156</v>
      </c>
      <c r="G21" s="21"/>
      <c r="H21" s="21"/>
    </row>
  </sheetData>
  <conditionalFormatting sqref="F2:F21">
    <cfRule type="cellIs" dxfId="41" priority="2" operator="equal">
      <formula>"Compliant"</formula>
    </cfRule>
    <cfRule type="cellIs" dxfId="40" priority="3" operator="equal">
      <formula>"In Progress"</formula>
    </cfRule>
    <cfRule type="cellIs" dxfId="39"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120" zoomScaleNormal="120" workbookViewId="0">
      <pane ySplit="1" topLeftCell="A21" activePane="bottomLeft" state="frozen"/>
      <selection pane="bottomLeft" activeCell="G17" sqref="G1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269</v>
      </c>
      <c r="B2" s="13" t="s">
        <v>270</v>
      </c>
      <c r="C2" s="13"/>
      <c r="D2" s="13"/>
      <c r="E2" s="13"/>
      <c r="F2" s="13"/>
      <c r="G2" s="13"/>
      <c r="H2" s="13"/>
    </row>
    <row r="3" spans="1:8" ht="30" customHeight="1" x14ac:dyDescent="0.2">
      <c r="A3" s="14" t="s">
        <v>269</v>
      </c>
      <c r="B3" s="14" t="s">
        <v>270</v>
      </c>
      <c r="C3" s="15" t="s">
        <v>271</v>
      </c>
      <c r="D3" s="16" t="s">
        <v>272</v>
      </c>
      <c r="E3" s="17">
        <v>2</v>
      </c>
      <c r="F3" s="18" t="s">
        <v>45</v>
      </c>
      <c r="G3" s="16"/>
      <c r="H3" s="16"/>
    </row>
    <row r="4" spans="1:8" ht="18" customHeight="1" x14ac:dyDescent="0.2">
      <c r="A4" s="13" t="s">
        <v>273</v>
      </c>
      <c r="B4" s="13" t="s">
        <v>274</v>
      </c>
      <c r="C4" s="13"/>
      <c r="D4" s="13"/>
      <c r="E4" s="13"/>
      <c r="F4" s="13"/>
      <c r="G4" s="13"/>
      <c r="H4" s="13"/>
    </row>
    <row r="5" spans="1:8" ht="30" customHeight="1" x14ac:dyDescent="0.2">
      <c r="A5" s="14" t="s">
        <v>273</v>
      </c>
      <c r="B5" s="14" t="s">
        <v>274</v>
      </c>
      <c r="C5" s="15" t="s">
        <v>275</v>
      </c>
      <c r="D5" s="16" t="s">
        <v>276</v>
      </c>
      <c r="E5" s="22">
        <v>1</v>
      </c>
      <c r="F5" s="18" t="s">
        <v>156</v>
      </c>
      <c r="G5" s="16"/>
      <c r="H5" s="16"/>
    </row>
    <row r="6" spans="1:8" ht="30" customHeight="1" x14ac:dyDescent="0.2">
      <c r="A6" s="19" t="s">
        <v>273</v>
      </c>
      <c r="B6" s="19" t="s">
        <v>274</v>
      </c>
      <c r="C6" s="20" t="s">
        <v>277</v>
      </c>
      <c r="D6" s="21" t="s">
        <v>278</v>
      </c>
      <c r="E6" s="22">
        <v>1</v>
      </c>
      <c r="F6" s="18" t="s">
        <v>45</v>
      </c>
      <c r="G6" s="24" t="s">
        <v>279</v>
      </c>
      <c r="H6" s="24" t="s">
        <v>280</v>
      </c>
    </row>
    <row r="7" spans="1:8" ht="30" customHeight="1" x14ac:dyDescent="0.2">
      <c r="A7" s="14" t="s">
        <v>273</v>
      </c>
      <c r="B7" s="14" t="s">
        <v>274</v>
      </c>
      <c r="C7" s="15" t="s">
        <v>281</v>
      </c>
      <c r="D7" s="16" t="s">
        <v>282</v>
      </c>
      <c r="E7" s="17">
        <v>2</v>
      </c>
      <c r="F7" s="18" t="s">
        <v>156</v>
      </c>
      <c r="G7" s="16"/>
      <c r="H7" s="16"/>
    </row>
    <row r="8" spans="1:8" ht="30" customHeight="1" x14ac:dyDescent="0.2">
      <c r="A8" s="19" t="s">
        <v>273</v>
      </c>
      <c r="B8" s="19" t="s">
        <v>274</v>
      </c>
      <c r="C8" s="20" t="s">
        <v>283</v>
      </c>
      <c r="D8" s="21" t="s">
        <v>284</v>
      </c>
      <c r="E8" s="25">
        <v>3</v>
      </c>
      <c r="F8" s="18" t="s">
        <v>45</v>
      </c>
      <c r="G8" s="21" t="s">
        <v>955</v>
      </c>
      <c r="H8" s="21"/>
    </row>
    <row r="9" spans="1:8" ht="30" customHeight="1" x14ac:dyDescent="0.2">
      <c r="A9" s="14" t="s">
        <v>273</v>
      </c>
      <c r="B9" s="14" t="s">
        <v>274</v>
      </c>
      <c r="C9" s="15" t="s">
        <v>285</v>
      </c>
      <c r="D9" s="16" t="s">
        <v>286</v>
      </c>
      <c r="E9" s="25">
        <v>3</v>
      </c>
      <c r="F9" s="18" t="s">
        <v>156</v>
      </c>
      <c r="G9" s="16"/>
      <c r="H9" s="16"/>
    </row>
    <row r="10" spans="1:8" ht="30" customHeight="1" x14ac:dyDescent="0.2">
      <c r="A10" s="19" t="s">
        <v>273</v>
      </c>
      <c r="B10" s="19" t="s">
        <v>274</v>
      </c>
      <c r="C10" s="20" t="s">
        <v>287</v>
      </c>
      <c r="D10" s="21" t="s">
        <v>288</v>
      </c>
      <c r="E10" s="25">
        <v>3</v>
      </c>
      <c r="F10" s="18" t="s">
        <v>156</v>
      </c>
      <c r="G10" s="21"/>
      <c r="H10" s="21"/>
    </row>
    <row r="11" spans="1:8" ht="18" customHeight="1" x14ac:dyDescent="0.2">
      <c r="A11" s="13" t="s">
        <v>289</v>
      </c>
      <c r="B11" s="13" t="s">
        <v>290</v>
      </c>
      <c r="C11" s="13"/>
      <c r="D11" s="13"/>
      <c r="E11" s="13"/>
      <c r="F11" s="13"/>
      <c r="G11" s="13"/>
      <c r="H11" s="13"/>
    </row>
    <row r="12" spans="1:8" ht="30" customHeight="1" x14ac:dyDescent="0.2">
      <c r="A12" s="14" t="s">
        <v>289</v>
      </c>
      <c r="B12" s="14" t="s">
        <v>290</v>
      </c>
      <c r="C12" s="15" t="s">
        <v>291</v>
      </c>
      <c r="D12" s="16" t="s">
        <v>292</v>
      </c>
      <c r="E12" s="22">
        <v>1</v>
      </c>
      <c r="F12" s="18" t="s">
        <v>45</v>
      </c>
      <c r="G12" s="16" t="s">
        <v>956</v>
      </c>
      <c r="H12" s="16"/>
    </row>
    <row r="13" spans="1:8" ht="30" customHeight="1" x14ac:dyDescent="0.2">
      <c r="A13" s="19" t="s">
        <v>289</v>
      </c>
      <c r="B13" s="19" t="s">
        <v>290</v>
      </c>
      <c r="C13" s="20" t="s">
        <v>293</v>
      </c>
      <c r="D13" s="21" t="s">
        <v>294</v>
      </c>
      <c r="E13" s="22">
        <v>1</v>
      </c>
      <c r="F13" s="18" t="s">
        <v>45</v>
      </c>
      <c r="G13" s="24" t="s">
        <v>957</v>
      </c>
      <c r="H13" s="24" t="s">
        <v>295</v>
      </c>
    </row>
    <row r="14" spans="1:8" ht="30" customHeight="1" x14ac:dyDescent="0.2">
      <c r="A14" s="14" t="s">
        <v>289</v>
      </c>
      <c r="B14" s="14" t="s">
        <v>290</v>
      </c>
      <c r="C14" s="15" t="s">
        <v>296</v>
      </c>
      <c r="D14" s="16" t="s">
        <v>297</v>
      </c>
      <c r="E14" s="25">
        <v>3</v>
      </c>
      <c r="F14" s="18" t="s">
        <v>156</v>
      </c>
      <c r="G14" s="16"/>
      <c r="H14" s="16"/>
    </row>
    <row r="15" spans="1:8" ht="18" customHeight="1" x14ac:dyDescent="0.2">
      <c r="A15" s="13" t="s">
        <v>298</v>
      </c>
      <c r="B15" s="13" t="s">
        <v>299</v>
      </c>
      <c r="C15" s="13"/>
      <c r="D15" s="13"/>
      <c r="E15" s="13"/>
      <c r="F15" s="13"/>
      <c r="G15" s="13"/>
      <c r="H15" s="13"/>
    </row>
    <row r="16" spans="1:8" ht="30" customHeight="1" x14ac:dyDescent="0.2">
      <c r="A16" s="14" t="s">
        <v>298</v>
      </c>
      <c r="B16" s="14" t="s">
        <v>299</v>
      </c>
      <c r="C16" s="15" t="s">
        <v>300</v>
      </c>
      <c r="D16" s="16" t="s">
        <v>301</v>
      </c>
      <c r="E16" s="17">
        <v>2</v>
      </c>
      <c r="F16" s="18" t="s">
        <v>45</v>
      </c>
      <c r="G16" s="16"/>
      <c r="H16" s="16"/>
    </row>
    <row r="17" spans="1:8" ht="30" customHeight="1" x14ac:dyDescent="0.2">
      <c r="A17" s="19" t="s">
        <v>298</v>
      </c>
      <c r="B17" s="19" t="s">
        <v>299</v>
      </c>
      <c r="C17" s="20" t="s">
        <v>302</v>
      </c>
      <c r="D17" s="21" t="s">
        <v>303</v>
      </c>
      <c r="E17" s="17">
        <v>2</v>
      </c>
      <c r="F17" s="18" t="s">
        <v>45</v>
      </c>
      <c r="G17" s="21"/>
      <c r="H17" s="21"/>
    </row>
    <row r="18" spans="1:8" ht="30" customHeight="1" x14ac:dyDescent="0.2">
      <c r="A18" s="14" t="s">
        <v>298</v>
      </c>
      <c r="B18" s="14" t="s">
        <v>299</v>
      </c>
      <c r="C18" s="15" t="s">
        <v>304</v>
      </c>
      <c r="D18" s="16" t="s">
        <v>305</v>
      </c>
      <c r="E18" s="17">
        <v>2</v>
      </c>
      <c r="F18" s="18" t="s">
        <v>45</v>
      </c>
      <c r="G18" s="16" t="s">
        <v>958</v>
      </c>
      <c r="H18" s="16"/>
    </row>
  </sheetData>
  <conditionalFormatting sqref="F2:F18">
    <cfRule type="cellIs" dxfId="38" priority="2" operator="equal">
      <formula>"Compliant"</formula>
    </cfRule>
    <cfRule type="cellIs" dxfId="37" priority="3" operator="equal">
      <formula>"In Progress"</formula>
    </cfRule>
    <cfRule type="cellIs" dxfId="36"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137" zoomScaleNormal="75" workbookViewId="0">
      <pane ySplit="1" topLeftCell="A48" activePane="bottomLeft" state="frozen"/>
      <selection pane="bottomLeft" activeCell="F59" sqref="F5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306</v>
      </c>
      <c r="B2" s="13" t="s">
        <v>307</v>
      </c>
      <c r="C2" s="13"/>
      <c r="D2" s="13"/>
      <c r="E2" s="13"/>
      <c r="F2" s="13"/>
      <c r="G2" s="13"/>
      <c r="H2" s="13"/>
    </row>
    <row r="3" spans="1:8" ht="30" customHeight="1" x14ac:dyDescent="0.2">
      <c r="A3" s="14" t="s">
        <v>306</v>
      </c>
      <c r="B3" s="14" t="s">
        <v>307</v>
      </c>
      <c r="C3" s="15" t="s">
        <v>308</v>
      </c>
      <c r="D3" s="16" t="s">
        <v>309</v>
      </c>
      <c r="E3" s="22">
        <v>1</v>
      </c>
      <c r="F3" s="18" t="s">
        <v>45</v>
      </c>
      <c r="G3" s="23" t="s">
        <v>310</v>
      </c>
      <c r="H3" s="23" t="s">
        <v>311</v>
      </c>
    </row>
    <row r="4" spans="1:8" ht="30" customHeight="1" x14ac:dyDescent="0.2">
      <c r="A4" s="19" t="s">
        <v>306</v>
      </c>
      <c r="B4" s="19" t="s">
        <v>307</v>
      </c>
      <c r="C4" s="20" t="s">
        <v>312</v>
      </c>
      <c r="D4" s="21" t="s">
        <v>313</v>
      </c>
      <c r="E4" s="17">
        <v>2</v>
      </c>
      <c r="F4" s="18" t="s">
        <v>45</v>
      </c>
      <c r="G4" s="24" t="s">
        <v>314</v>
      </c>
      <c r="H4" s="24" t="s">
        <v>315</v>
      </c>
    </row>
    <row r="5" spans="1:8" ht="30" customHeight="1" x14ac:dyDescent="0.2">
      <c r="A5" s="14" t="s">
        <v>306</v>
      </c>
      <c r="B5" s="14" t="s">
        <v>307</v>
      </c>
      <c r="C5" s="15" t="s">
        <v>316</v>
      </c>
      <c r="D5" s="16" t="s">
        <v>317</v>
      </c>
      <c r="E5" s="17">
        <v>2</v>
      </c>
      <c r="F5" s="18" t="s">
        <v>45</v>
      </c>
      <c r="G5" s="16"/>
      <c r="H5" s="16"/>
    </row>
    <row r="6" spans="1:8" ht="18" customHeight="1" x14ac:dyDescent="0.2">
      <c r="A6" s="13" t="s">
        <v>318</v>
      </c>
      <c r="B6" s="13" t="s">
        <v>319</v>
      </c>
      <c r="C6" s="13"/>
      <c r="D6" s="13"/>
      <c r="E6" s="13"/>
      <c r="F6" s="13"/>
      <c r="G6" s="13"/>
      <c r="H6" s="13"/>
    </row>
    <row r="7" spans="1:8" ht="30" customHeight="1" x14ac:dyDescent="0.2">
      <c r="A7" s="14" t="s">
        <v>318</v>
      </c>
      <c r="B7" s="14" t="s">
        <v>319</v>
      </c>
      <c r="C7" s="15" t="s">
        <v>320</v>
      </c>
      <c r="D7" s="16" t="s">
        <v>321</v>
      </c>
      <c r="E7" s="22">
        <v>1</v>
      </c>
      <c r="F7" s="18" t="s">
        <v>45</v>
      </c>
      <c r="G7" s="23" t="s">
        <v>322</v>
      </c>
      <c r="H7" s="23" t="s">
        <v>323</v>
      </c>
    </row>
    <row r="8" spans="1:8" ht="30" customHeight="1" x14ac:dyDescent="0.2">
      <c r="A8" s="19" t="s">
        <v>318</v>
      </c>
      <c r="B8" s="19" t="s">
        <v>319</v>
      </c>
      <c r="C8" s="20" t="s">
        <v>324</v>
      </c>
      <c r="D8" s="21" t="s">
        <v>325</v>
      </c>
      <c r="E8" s="22">
        <v>1</v>
      </c>
      <c r="F8" s="18" t="s">
        <v>45</v>
      </c>
      <c r="G8" s="21"/>
      <c r="H8" s="21"/>
    </row>
    <row r="9" spans="1:8" ht="30" customHeight="1" x14ac:dyDescent="0.2">
      <c r="A9" s="14" t="s">
        <v>318</v>
      </c>
      <c r="B9" s="14" t="s">
        <v>319</v>
      </c>
      <c r="C9" s="15" t="s">
        <v>326</v>
      </c>
      <c r="D9" s="16" t="s">
        <v>327</v>
      </c>
      <c r="E9" s="22">
        <v>1</v>
      </c>
      <c r="F9" s="18" t="s">
        <v>45</v>
      </c>
      <c r="G9" s="16"/>
      <c r="H9" s="16"/>
    </row>
    <row r="10" spans="1:8" ht="30" customHeight="1" x14ac:dyDescent="0.2">
      <c r="A10" s="19" t="s">
        <v>318</v>
      </c>
      <c r="B10" s="19" t="s">
        <v>319</v>
      </c>
      <c r="C10" s="20" t="s">
        <v>328</v>
      </c>
      <c r="D10" s="21" t="s">
        <v>329</v>
      </c>
      <c r="E10" s="22">
        <v>1</v>
      </c>
      <c r="F10" s="18" t="s">
        <v>45</v>
      </c>
      <c r="G10" s="21"/>
      <c r="H10" s="21"/>
    </row>
    <row r="11" spans="1:8" ht="30" customHeight="1" x14ac:dyDescent="0.2">
      <c r="A11" s="14" t="s">
        <v>318</v>
      </c>
      <c r="B11" s="14" t="s">
        <v>319</v>
      </c>
      <c r="C11" s="15" t="s">
        <v>330</v>
      </c>
      <c r="D11" s="16" t="s">
        <v>331</v>
      </c>
      <c r="E11" s="22">
        <v>1</v>
      </c>
      <c r="F11" s="18" t="s">
        <v>156</v>
      </c>
      <c r="G11" s="16"/>
      <c r="H11" s="16"/>
    </row>
    <row r="12" spans="1:8" ht="30" customHeight="1" x14ac:dyDescent="0.2">
      <c r="A12" s="19" t="s">
        <v>318</v>
      </c>
      <c r="B12" s="19" t="s">
        <v>319</v>
      </c>
      <c r="C12" s="20" t="s">
        <v>332</v>
      </c>
      <c r="D12" s="21" t="s">
        <v>333</v>
      </c>
      <c r="E12" s="22">
        <v>1</v>
      </c>
      <c r="F12" s="18" t="s">
        <v>45</v>
      </c>
      <c r="G12" s="21"/>
      <c r="H12" s="21"/>
    </row>
    <row r="13" spans="1:8" ht="30" customHeight="1" x14ac:dyDescent="0.2">
      <c r="A13" s="14" t="s">
        <v>318</v>
      </c>
      <c r="B13" s="14" t="s">
        <v>319</v>
      </c>
      <c r="C13" s="15" t="s">
        <v>334</v>
      </c>
      <c r="D13" s="16" t="s">
        <v>335</v>
      </c>
      <c r="E13" s="22">
        <v>1</v>
      </c>
      <c r="F13" s="18" t="s">
        <v>45</v>
      </c>
      <c r="G13" s="16"/>
      <c r="H13" s="16"/>
    </row>
    <row r="14" spans="1:8" ht="30" customHeight="1" x14ac:dyDescent="0.2">
      <c r="A14" s="19" t="s">
        <v>318</v>
      </c>
      <c r="B14" s="19" t="s">
        <v>319</v>
      </c>
      <c r="C14" s="20" t="s">
        <v>336</v>
      </c>
      <c r="D14" s="21" t="s">
        <v>337</v>
      </c>
      <c r="E14" s="22">
        <v>1</v>
      </c>
      <c r="F14" s="18" t="s">
        <v>45</v>
      </c>
      <c r="G14" s="21" t="s">
        <v>964</v>
      </c>
      <c r="H14" s="21"/>
    </row>
    <row r="15" spans="1:8" ht="30" customHeight="1" x14ac:dyDescent="0.2">
      <c r="A15" s="14" t="s">
        <v>318</v>
      </c>
      <c r="B15" s="14" t="s">
        <v>319</v>
      </c>
      <c r="C15" s="15" t="s">
        <v>338</v>
      </c>
      <c r="D15" s="16" t="s">
        <v>339</v>
      </c>
      <c r="E15" s="17">
        <v>2</v>
      </c>
      <c r="F15" s="18" t="s">
        <v>156</v>
      </c>
      <c r="G15" s="16"/>
      <c r="H15" s="16"/>
    </row>
    <row r="16" spans="1:8" ht="30" customHeight="1" x14ac:dyDescent="0.2">
      <c r="A16" s="19" t="s">
        <v>318</v>
      </c>
      <c r="B16" s="19" t="s">
        <v>319</v>
      </c>
      <c r="C16" s="20" t="s">
        <v>340</v>
      </c>
      <c r="D16" s="21" t="s">
        <v>341</v>
      </c>
      <c r="E16" s="17">
        <v>2</v>
      </c>
      <c r="F16" s="18" t="s">
        <v>156</v>
      </c>
      <c r="G16" s="21"/>
      <c r="H16" s="21"/>
    </row>
    <row r="17" spans="1:8" ht="30" customHeight="1" x14ac:dyDescent="0.2">
      <c r="A17" s="14" t="s">
        <v>318</v>
      </c>
      <c r="B17" s="14" t="s">
        <v>319</v>
      </c>
      <c r="C17" s="15" t="s">
        <v>342</v>
      </c>
      <c r="D17" s="16" t="s">
        <v>343</v>
      </c>
      <c r="E17" s="17">
        <v>2</v>
      </c>
      <c r="F17" s="18" t="s">
        <v>45</v>
      </c>
      <c r="G17" s="16"/>
      <c r="H17" s="16"/>
    </row>
    <row r="18" spans="1:8" ht="30" customHeight="1" x14ac:dyDescent="0.2">
      <c r="A18" s="19" t="s">
        <v>318</v>
      </c>
      <c r="B18" s="19" t="s">
        <v>319</v>
      </c>
      <c r="C18" s="20" t="s">
        <v>344</v>
      </c>
      <c r="D18" s="21" t="s">
        <v>345</v>
      </c>
      <c r="E18" s="17">
        <v>2</v>
      </c>
      <c r="F18" s="18" t="s">
        <v>45</v>
      </c>
      <c r="G18" s="21"/>
      <c r="H18" s="21"/>
    </row>
    <row r="19" spans="1:8" ht="18" customHeight="1" x14ac:dyDescent="0.2">
      <c r="A19" s="13" t="s">
        <v>346</v>
      </c>
      <c r="B19" s="13" t="s">
        <v>347</v>
      </c>
      <c r="C19" s="13"/>
      <c r="D19" s="13"/>
      <c r="E19" s="13"/>
      <c r="F19" s="13"/>
      <c r="G19" s="13"/>
      <c r="H19" s="13"/>
    </row>
    <row r="20" spans="1:8" ht="30" customHeight="1" x14ac:dyDescent="0.2">
      <c r="A20" s="14" t="s">
        <v>346</v>
      </c>
      <c r="B20" s="14" t="s">
        <v>347</v>
      </c>
      <c r="C20" s="15" t="s">
        <v>348</v>
      </c>
      <c r="D20" s="16" t="s">
        <v>349</v>
      </c>
      <c r="E20" s="22">
        <v>1</v>
      </c>
      <c r="F20" s="18" t="s">
        <v>45</v>
      </c>
      <c r="G20" s="16"/>
      <c r="H20" s="16"/>
    </row>
    <row r="21" spans="1:8" ht="30" customHeight="1" x14ac:dyDescent="0.2">
      <c r="A21" s="19" t="s">
        <v>346</v>
      </c>
      <c r="B21" s="19" t="s">
        <v>347</v>
      </c>
      <c r="C21" s="20" t="s">
        <v>350</v>
      </c>
      <c r="D21" s="21" t="s">
        <v>351</v>
      </c>
      <c r="E21" s="22">
        <v>1</v>
      </c>
      <c r="F21" s="18" t="s">
        <v>156</v>
      </c>
      <c r="G21" s="21"/>
      <c r="H21" s="21"/>
    </row>
    <row r="22" spans="1:8" ht="30" customHeight="1" x14ac:dyDescent="0.2">
      <c r="A22" s="14" t="s">
        <v>346</v>
      </c>
      <c r="B22" s="14" t="s">
        <v>347</v>
      </c>
      <c r="C22" s="15" t="s">
        <v>352</v>
      </c>
      <c r="D22" s="16" t="s">
        <v>353</v>
      </c>
      <c r="E22" s="17">
        <v>2</v>
      </c>
      <c r="F22" s="18" t="s">
        <v>45</v>
      </c>
      <c r="G22" s="16"/>
      <c r="H22" s="16"/>
    </row>
    <row r="23" spans="1:8" ht="30" customHeight="1" x14ac:dyDescent="0.2">
      <c r="A23" s="19" t="s">
        <v>346</v>
      </c>
      <c r="B23" s="19" t="s">
        <v>347</v>
      </c>
      <c r="C23" s="20" t="s">
        <v>354</v>
      </c>
      <c r="D23" s="21" t="s">
        <v>355</v>
      </c>
      <c r="E23" s="17">
        <v>2</v>
      </c>
      <c r="F23" s="18" t="s">
        <v>45</v>
      </c>
      <c r="G23" s="21"/>
      <c r="H23" s="21"/>
    </row>
    <row r="24" spans="1:8" ht="30" customHeight="1" x14ac:dyDescent="0.2">
      <c r="A24" s="14" t="s">
        <v>346</v>
      </c>
      <c r="B24" s="14" t="s">
        <v>347</v>
      </c>
      <c r="C24" s="15" t="s">
        <v>356</v>
      </c>
      <c r="D24" s="16" t="s">
        <v>357</v>
      </c>
      <c r="E24" s="25">
        <v>3</v>
      </c>
      <c r="F24" s="18" t="s">
        <v>45</v>
      </c>
      <c r="G24" s="16"/>
      <c r="H24" s="16"/>
    </row>
    <row r="25" spans="1:8" ht="30" customHeight="1" x14ac:dyDescent="0.2">
      <c r="A25" s="19" t="s">
        <v>346</v>
      </c>
      <c r="B25" s="19" t="s">
        <v>347</v>
      </c>
      <c r="C25" s="20" t="s">
        <v>358</v>
      </c>
      <c r="D25" s="21" t="s">
        <v>359</v>
      </c>
      <c r="E25" s="25">
        <v>3</v>
      </c>
      <c r="F25" s="18" t="s">
        <v>45</v>
      </c>
      <c r="G25" s="21"/>
      <c r="H25" s="21"/>
    </row>
    <row r="26" spans="1:8" ht="30" customHeight="1" x14ac:dyDescent="0.2">
      <c r="A26" s="14" t="s">
        <v>346</v>
      </c>
      <c r="B26" s="14" t="s">
        <v>347</v>
      </c>
      <c r="C26" s="15" t="s">
        <v>360</v>
      </c>
      <c r="D26" s="16" t="s">
        <v>361</v>
      </c>
      <c r="E26" s="25">
        <v>3</v>
      </c>
      <c r="F26" s="18" t="s">
        <v>45</v>
      </c>
      <c r="G26" s="16"/>
      <c r="H26" s="16"/>
    </row>
    <row r="27" spans="1:8" ht="30" customHeight="1" x14ac:dyDescent="0.2">
      <c r="A27" s="19" t="s">
        <v>346</v>
      </c>
      <c r="B27" s="19" t="s">
        <v>347</v>
      </c>
      <c r="C27" s="20" t="s">
        <v>362</v>
      </c>
      <c r="D27" s="21" t="s">
        <v>363</v>
      </c>
      <c r="E27" s="25">
        <v>3</v>
      </c>
      <c r="F27" s="18" t="s">
        <v>156</v>
      </c>
      <c r="G27" s="21"/>
      <c r="H27" s="21"/>
    </row>
    <row r="28" spans="1:8" ht="18" customHeight="1" x14ac:dyDescent="0.2">
      <c r="A28" s="13" t="s">
        <v>364</v>
      </c>
      <c r="B28" s="13" t="s">
        <v>365</v>
      </c>
      <c r="C28" s="13"/>
      <c r="D28" s="13"/>
      <c r="E28" s="13"/>
      <c r="F28" s="13"/>
      <c r="G28" s="13"/>
      <c r="H28" s="13"/>
    </row>
    <row r="29" spans="1:8" ht="30" customHeight="1" x14ac:dyDescent="0.2">
      <c r="A29" s="14" t="s">
        <v>364</v>
      </c>
      <c r="B29" s="14" t="s">
        <v>365</v>
      </c>
      <c r="C29" s="15" t="s">
        <v>366</v>
      </c>
      <c r="D29" s="16" t="s">
        <v>367</v>
      </c>
      <c r="E29" s="22">
        <v>1</v>
      </c>
      <c r="F29" s="18" t="s">
        <v>45</v>
      </c>
      <c r="G29" s="23" t="s">
        <v>368</v>
      </c>
      <c r="H29" s="23" t="s">
        <v>369</v>
      </c>
    </row>
    <row r="30" spans="1:8" ht="30" customHeight="1" x14ac:dyDescent="0.2">
      <c r="A30" s="19" t="s">
        <v>364</v>
      </c>
      <c r="B30" s="19" t="s">
        <v>365</v>
      </c>
      <c r="C30" s="20" t="s">
        <v>370</v>
      </c>
      <c r="D30" s="21" t="s">
        <v>371</v>
      </c>
      <c r="E30" s="22">
        <v>1</v>
      </c>
      <c r="F30" s="18" t="s">
        <v>156</v>
      </c>
      <c r="G30" s="21"/>
      <c r="H30" s="21"/>
    </row>
    <row r="31" spans="1:8" ht="30" customHeight="1" x14ac:dyDescent="0.2">
      <c r="A31" s="14" t="s">
        <v>364</v>
      </c>
      <c r="B31" s="14" t="s">
        <v>365</v>
      </c>
      <c r="C31" s="15" t="s">
        <v>372</v>
      </c>
      <c r="D31" s="16" t="s">
        <v>373</v>
      </c>
      <c r="E31" s="17">
        <v>2</v>
      </c>
      <c r="F31" s="18" t="s">
        <v>45</v>
      </c>
      <c r="G31" s="16"/>
      <c r="H31" s="16"/>
    </row>
    <row r="32" spans="1:8" ht="30" customHeight="1" x14ac:dyDescent="0.2">
      <c r="A32" s="19" t="s">
        <v>364</v>
      </c>
      <c r="B32" s="19" t="s">
        <v>365</v>
      </c>
      <c r="C32" s="20" t="s">
        <v>374</v>
      </c>
      <c r="D32" s="21" t="s">
        <v>375</v>
      </c>
      <c r="E32" s="17">
        <v>2</v>
      </c>
      <c r="F32" s="18" t="s">
        <v>156</v>
      </c>
      <c r="G32" s="21"/>
      <c r="H32" s="21"/>
    </row>
    <row r="33" spans="1:8" ht="30" customHeight="1" x14ac:dyDescent="0.2">
      <c r="A33" s="14" t="s">
        <v>364</v>
      </c>
      <c r="B33" s="14" t="s">
        <v>365</v>
      </c>
      <c r="C33" s="15" t="s">
        <v>376</v>
      </c>
      <c r="D33" s="16" t="s">
        <v>377</v>
      </c>
      <c r="E33" s="25">
        <v>3</v>
      </c>
      <c r="F33" s="18" t="s">
        <v>156</v>
      </c>
      <c r="G33" s="23"/>
      <c r="H33" s="23"/>
    </row>
    <row r="34" spans="1:8" ht="30" customHeight="1" x14ac:dyDescent="0.2">
      <c r="A34" s="19" t="s">
        <v>364</v>
      </c>
      <c r="B34" s="19" t="s">
        <v>365</v>
      </c>
      <c r="C34" s="20" t="s">
        <v>378</v>
      </c>
      <c r="D34" s="21" t="s">
        <v>379</v>
      </c>
      <c r="E34" s="25">
        <v>3</v>
      </c>
      <c r="F34" s="18" t="s">
        <v>45</v>
      </c>
      <c r="G34" s="24" t="s">
        <v>380</v>
      </c>
      <c r="H34" s="24" t="s">
        <v>381</v>
      </c>
    </row>
    <row r="35" spans="1:8" ht="18" customHeight="1" x14ac:dyDescent="0.2">
      <c r="A35" s="13" t="s">
        <v>382</v>
      </c>
      <c r="B35" s="13" t="s">
        <v>383</v>
      </c>
      <c r="C35" s="13"/>
      <c r="D35" s="13"/>
      <c r="E35" s="13"/>
      <c r="F35" s="13"/>
      <c r="G35" s="13"/>
      <c r="H35" s="13"/>
    </row>
    <row r="36" spans="1:8" ht="30" customHeight="1" x14ac:dyDescent="0.2">
      <c r="A36" s="14" t="s">
        <v>382</v>
      </c>
      <c r="B36" s="14" t="s">
        <v>383</v>
      </c>
      <c r="C36" s="15" t="s">
        <v>384</v>
      </c>
      <c r="D36" s="16" t="s">
        <v>385</v>
      </c>
      <c r="E36" s="17">
        <v>2</v>
      </c>
      <c r="F36" s="18" t="s">
        <v>156</v>
      </c>
      <c r="G36" s="16"/>
      <c r="H36" s="16"/>
    </row>
    <row r="37" spans="1:8" ht="30" customHeight="1" x14ac:dyDescent="0.2">
      <c r="A37" s="19" t="s">
        <v>382</v>
      </c>
      <c r="B37" s="19" t="s">
        <v>383</v>
      </c>
      <c r="C37" s="20" t="s">
        <v>386</v>
      </c>
      <c r="D37" s="21" t="s">
        <v>387</v>
      </c>
      <c r="E37" s="17">
        <v>2</v>
      </c>
      <c r="F37" s="18" t="s">
        <v>156</v>
      </c>
      <c r="G37" s="21"/>
      <c r="H37" s="21"/>
    </row>
    <row r="38" spans="1:8" ht="30" customHeight="1" x14ac:dyDescent="0.2">
      <c r="A38" s="14" t="s">
        <v>382</v>
      </c>
      <c r="B38" s="14" t="s">
        <v>383</v>
      </c>
      <c r="C38" s="15" t="s">
        <v>388</v>
      </c>
      <c r="D38" s="16" t="s">
        <v>389</v>
      </c>
      <c r="E38" s="17">
        <v>2</v>
      </c>
      <c r="F38" s="18" t="s">
        <v>156</v>
      </c>
      <c r="G38" s="16"/>
      <c r="H38" s="16"/>
    </row>
    <row r="39" spans="1:8" ht="30" customHeight="1" x14ac:dyDescent="0.2">
      <c r="A39" s="19" t="s">
        <v>382</v>
      </c>
      <c r="B39" s="19" t="s">
        <v>383</v>
      </c>
      <c r="C39" s="20" t="s">
        <v>390</v>
      </c>
      <c r="D39" s="21" t="s">
        <v>391</v>
      </c>
      <c r="E39" s="17">
        <v>2</v>
      </c>
      <c r="F39" s="18" t="s">
        <v>156</v>
      </c>
      <c r="G39" s="21"/>
      <c r="H39" s="21"/>
    </row>
    <row r="40" spans="1:8" ht="30" customHeight="1" x14ac:dyDescent="0.2">
      <c r="A40" s="14" t="s">
        <v>382</v>
      </c>
      <c r="B40" s="14" t="s">
        <v>383</v>
      </c>
      <c r="C40" s="15" t="s">
        <v>392</v>
      </c>
      <c r="D40" s="16" t="s">
        <v>393</v>
      </c>
      <c r="E40" s="17">
        <v>2</v>
      </c>
      <c r="F40" s="18" t="s">
        <v>156</v>
      </c>
      <c r="G40" s="16"/>
      <c r="H40" s="16"/>
    </row>
    <row r="41" spans="1:8" ht="30" customHeight="1" x14ac:dyDescent="0.2">
      <c r="A41" s="19" t="s">
        <v>382</v>
      </c>
      <c r="B41" s="19" t="s">
        <v>383</v>
      </c>
      <c r="C41" s="20" t="s">
        <v>394</v>
      </c>
      <c r="D41" s="21" t="s">
        <v>395</v>
      </c>
      <c r="E41" s="25">
        <v>3</v>
      </c>
      <c r="F41" s="18" t="s">
        <v>156</v>
      </c>
      <c r="G41" s="21"/>
      <c r="H41" s="21"/>
    </row>
    <row r="42" spans="1:8" ht="30" customHeight="1" x14ac:dyDescent="0.2">
      <c r="A42" s="14" t="s">
        <v>382</v>
      </c>
      <c r="B42" s="14" t="s">
        <v>383</v>
      </c>
      <c r="C42" s="15" t="s">
        <v>396</v>
      </c>
      <c r="D42" s="16" t="s">
        <v>397</v>
      </c>
      <c r="E42" s="25">
        <v>3</v>
      </c>
      <c r="F42" s="18" t="s">
        <v>156</v>
      </c>
      <c r="G42" s="16"/>
      <c r="H42" s="16"/>
    </row>
    <row r="43" spans="1:8" ht="30" customHeight="1" x14ac:dyDescent="0.2">
      <c r="A43" s="19" t="s">
        <v>382</v>
      </c>
      <c r="B43" s="19" t="s">
        <v>383</v>
      </c>
      <c r="C43" s="20" t="s">
        <v>398</v>
      </c>
      <c r="D43" s="21" t="s">
        <v>399</v>
      </c>
      <c r="E43" s="25">
        <v>3</v>
      </c>
      <c r="F43" s="18" t="s">
        <v>156</v>
      </c>
      <c r="G43" s="21"/>
      <c r="H43" s="21"/>
    </row>
    <row r="44" spans="1:8" ht="18" customHeight="1" x14ac:dyDescent="0.2">
      <c r="A44" s="13" t="s">
        <v>400</v>
      </c>
      <c r="B44" s="13" t="s">
        <v>401</v>
      </c>
      <c r="C44" s="13"/>
      <c r="D44" s="13"/>
      <c r="E44" s="13"/>
      <c r="F44" s="13"/>
      <c r="G44" s="13"/>
      <c r="H44" s="13"/>
    </row>
    <row r="45" spans="1:8" ht="30" customHeight="1" x14ac:dyDescent="0.2">
      <c r="A45" s="14" t="s">
        <v>400</v>
      </c>
      <c r="B45" s="14" t="s">
        <v>401</v>
      </c>
      <c r="C45" s="15" t="s">
        <v>402</v>
      </c>
      <c r="D45" s="16" t="s">
        <v>403</v>
      </c>
      <c r="E45" s="17">
        <v>2</v>
      </c>
      <c r="F45" s="18" t="s">
        <v>156</v>
      </c>
      <c r="G45" s="16"/>
      <c r="H45" s="16"/>
    </row>
    <row r="46" spans="1:8" ht="30" customHeight="1" x14ac:dyDescent="0.2">
      <c r="A46" s="19" t="s">
        <v>400</v>
      </c>
      <c r="B46" s="19" t="s">
        <v>401</v>
      </c>
      <c r="C46" s="20" t="s">
        <v>404</v>
      </c>
      <c r="D46" s="21" t="s">
        <v>405</v>
      </c>
      <c r="E46" s="17">
        <v>2</v>
      </c>
      <c r="F46" s="18" t="s">
        <v>156</v>
      </c>
      <c r="G46" s="21"/>
      <c r="H46" s="21"/>
    </row>
    <row r="47" spans="1:8" ht="30" customHeight="1" x14ac:dyDescent="0.2">
      <c r="A47" s="14" t="s">
        <v>400</v>
      </c>
      <c r="B47" s="14" t="s">
        <v>401</v>
      </c>
      <c r="C47" s="15" t="s">
        <v>406</v>
      </c>
      <c r="D47" s="16" t="s">
        <v>407</v>
      </c>
      <c r="E47" s="17">
        <v>2</v>
      </c>
      <c r="F47" s="18" t="s">
        <v>156</v>
      </c>
      <c r="G47" s="16"/>
      <c r="H47" s="16"/>
    </row>
    <row r="48" spans="1:8" ht="30" customHeight="1" x14ac:dyDescent="0.2">
      <c r="A48" s="19" t="s">
        <v>400</v>
      </c>
      <c r="B48" s="19" t="s">
        <v>401</v>
      </c>
      <c r="C48" s="20" t="s">
        <v>408</v>
      </c>
      <c r="D48" s="21" t="s">
        <v>409</v>
      </c>
      <c r="E48" s="25">
        <v>3</v>
      </c>
      <c r="F48" s="18" t="s">
        <v>156</v>
      </c>
      <c r="G48" s="21"/>
      <c r="H48" s="21"/>
    </row>
    <row r="49" spans="1:8" ht="18" customHeight="1" x14ac:dyDescent="0.2">
      <c r="A49" s="13" t="s">
        <v>410</v>
      </c>
      <c r="B49" s="13" t="s">
        <v>411</v>
      </c>
      <c r="C49" s="13"/>
      <c r="D49" s="13"/>
      <c r="E49" s="13"/>
      <c r="F49" s="13"/>
      <c r="G49" s="13"/>
      <c r="H49" s="13"/>
    </row>
    <row r="50" spans="1:8" ht="30" customHeight="1" x14ac:dyDescent="0.2">
      <c r="A50" s="14" t="s">
        <v>410</v>
      </c>
      <c r="B50" s="14" t="s">
        <v>411</v>
      </c>
      <c r="C50" s="15" t="s">
        <v>412</v>
      </c>
      <c r="D50" s="16" t="s">
        <v>413</v>
      </c>
      <c r="E50" s="25">
        <v>3</v>
      </c>
      <c r="F50" s="18" t="s">
        <v>45</v>
      </c>
      <c r="G50" s="23" t="s">
        <v>414</v>
      </c>
      <c r="H50" s="23" t="s">
        <v>415</v>
      </c>
    </row>
    <row r="51" spans="1:8" ht="30" customHeight="1" x14ac:dyDescent="0.2">
      <c r="A51" s="19" t="s">
        <v>410</v>
      </c>
      <c r="B51" s="19" t="s">
        <v>411</v>
      </c>
      <c r="C51" s="20" t="s">
        <v>416</v>
      </c>
      <c r="D51" s="21" t="s">
        <v>417</v>
      </c>
      <c r="E51" s="25">
        <v>3</v>
      </c>
      <c r="F51" s="18" t="s">
        <v>156</v>
      </c>
      <c r="G51" s="21"/>
      <c r="H51" s="21"/>
    </row>
    <row r="52" spans="1:8" ht="18" customHeight="1" x14ac:dyDescent="0.2">
      <c r="A52" s="13" t="s">
        <v>418</v>
      </c>
      <c r="B52" s="13" t="s">
        <v>419</v>
      </c>
      <c r="C52" s="13"/>
      <c r="D52" s="13"/>
      <c r="E52" s="13"/>
      <c r="F52" s="13"/>
      <c r="G52" s="13"/>
      <c r="H52" s="13"/>
    </row>
    <row r="53" spans="1:8" ht="30" customHeight="1" x14ac:dyDescent="0.2">
      <c r="A53" s="14" t="s">
        <v>418</v>
      </c>
      <c r="B53" s="14" t="s">
        <v>419</v>
      </c>
      <c r="C53" s="15" t="s">
        <v>420</v>
      </c>
      <c r="D53" s="16" t="s">
        <v>421</v>
      </c>
      <c r="E53" s="17">
        <v>2</v>
      </c>
      <c r="F53" s="18" t="s">
        <v>156</v>
      </c>
      <c r="G53" s="16"/>
      <c r="H53" s="16"/>
    </row>
    <row r="54" spans="1:8" ht="30" customHeight="1" x14ac:dyDescent="0.2">
      <c r="A54" s="19" t="s">
        <v>418</v>
      </c>
      <c r="B54" s="19" t="s">
        <v>419</v>
      </c>
      <c r="C54" s="20" t="s">
        <v>422</v>
      </c>
      <c r="D54" s="21" t="s">
        <v>423</v>
      </c>
      <c r="E54" s="17">
        <v>2</v>
      </c>
      <c r="F54" s="18" t="s">
        <v>156</v>
      </c>
      <c r="G54" s="21"/>
      <c r="H54" s="21"/>
    </row>
    <row r="55" spans="1:8" ht="30" customHeight="1" x14ac:dyDescent="0.2">
      <c r="A55" s="14" t="s">
        <v>418</v>
      </c>
      <c r="B55" s="14" t="s">
        <v>419</v>
      </c>
      <c r="C55" s="15" t="s">
        <v>424</v>
      </c>
      <c r="D55" s="16" t="s">
        <v>425</v>
      </c>
      <c r="E55" s="17">
        <v>2</v>
      </c>
      <c r="F55" s="18" t="s">
        <v>156</v>
      </c>
      <c r="G55" s="16"/>
      <c r="H55" s="16"/>
    </row>
    <row r="56" spans="1:8" ht="30" customHeight="1" x14ac:dyDescent="0.2">
      <c r="A56" s="19" t="s">
        <v>418</v>
      </c>
      <c r="B56" s="19" t="s">
        <v>419</v>
      </c>
      <c r="C56" s="20" t="s">
        <v>426</v>
      </c>
      <c r="D56" s="21" t="s">
        <v>427</v>
      </c>
      <c r="E56" s="17">
        <v>2</v>
      </c>
      <c r="F56" s="18" t="s">
        <v>156</v>
      </c>
      <c r="G56" s="21"/>
      <c r="H56" s="21"/>
    </row>
  </sheetData>
  <conditionalFormatting sqref="F2:F56">
    <cfRule type="cellIs" dxfId="35" priority="2" operator="equal">
      <formula>"Compliant"</formula>
    </cfRule>
    <cfRule type="cellIs" dxfId="34" priority="3" operator="equal">
      <formula>"In Progress"</formula>
    </cfRule>
    <cfRule type="cellIs" dxfId="33"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topLeftCell="B1" zoomScale="143" zoomScaleNormal="143" workbookViewId="0">
      <pane ySplit="1" topLeftCell="A18" activePane="bottomLeft" state="frozen"/>
      <selection pane="bottomLeft" activeCell="G22" sqref="G2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428</v>
      </c>
      <c r="B2" s="13" t="s">
        <v>429</v>
      </c>
      <c r="C2" s="13"/>
      <c r="D2" s="13"/>
      <c r="E2" s="13"/>
      <c r="F2" s="13"/>
      <c r="G2" s="13"/>
      <c r="H2" s="13"/>
    </row>
    <row r="3" spans="1:8" ht="30" customHeight="1" x14ac:dyDescent="0.2">
      <c r="A3" s="14" t="s">
        <v>428</v>
      </c>
      <c r="B3" s="14" t="s">
        <v>429</v>
      </c>
      <c r="C3" s="15" t="s">
        <v>430</v>
      </c>
      <c r="D3" s="16" t="s">
        <v>431</v>
      </c>
      <c r="E3" s="17">
        <v>2</v>
      </c>
      <c r="F3" s="18" t="s">
        <v>45</v>
      </c>
      <c r="G3" s="16"/>
      <c r="H3" s="16"/>
    </row>
    <row r="4" spans="1:8" ht="30" customHeight="1" x14ac:dyDescent="0.2">
      <c r="A4" s="19" t="s">
        <v>428</v>
      </c>
      <c r="B4" s="19" t="s">
        <v>429</v>
      </c>
      <c r="C4" s="20" t="s">
        <v>432</v>
      </c>
      <c r="D4" s="21" t="s">
        <v>433</v>
      </c>
      <c r="E4" s="17">
        <v>2</v>
      </c>
      <c r="F4" s="18" t="s">
        <v>45</v>
      </c>
      <c r="G4" s="21"/>
      <c r="H4" s="21"/>
    </row>
    <row r="5" spans="1:8" ht="30" customHeight="1" x14ac:dyDescent="0.2">
      <c r="A5" s="14" t="s">
        <v>428</v>
      </c>
      <c r="B5" s="14" t="s">
        <v>429</v>
      </c>
      <c r="C5" s="15" t="s">
        <v>434</v>
      </c>
      <c r="D5" s="16" t="s">
        <v>435</v>
      </c>
      <c r="E5" s="17">
        <v>2</v>
      </c>
      <c r="F5" s="18" t="s">
        <v>156</v>
      </c>
      <c r="G5" s="16"/>
      <c r="H5" s="16"/>
    </row>
    <row r="6" spans="1:8" ht="18" customHeight="1" x14ac:dyDescent="0.2">
      <c r="A6" s="13" t="s">
        <v>436</v>
      </c>
      <c r="B6" s="13" t="s">
        <v>437</v>
      </c>
      <c r="C6" s="13"/>
      <c r="D6" s="13"/>
      <c r="E6" s="13"/>
      <c r="F6" s="13"/>
      <c r="G6" s="13"/>
      <c r="H6" s="13"/>
    </row>
    <row r="7" spans="1:8" ht="30" customHeight="1" x14ac:dyDescent="0.2">
      <c r="A7" s="14" t="s">
        <v>436</v>
      </c>
      <c r="B7" s="14" t="s">
        <v>437</v>
      </c>
      <c r="C7" s="15" t="s">
        <v>438</v>
      </c>
      <c r="D7" s="16" t="s">
        <v>439</v>
      </c>
      <c r="E7" s="22">
        <v>1</v>
      </c>
      <c r="F7" s="18" t="s">
        <v>45</v>
      </c>
      <c r="G7" s="16"/>
      <c r="H7" s="16"/>
    </row>
    <row r="8" spans="1:8" ht="30" customHeight="1" x14ac:dyDescent="0.2">
      <c r="A8" s="19" t="s">
        <v>436</v>
      </c>
      <c r="B8" s="19" t="s">
        <v>437</v>
      </c>
      <c r="C8" s="20" t="s">
        <v>440</v>
      </c>
      <c r="D8" s="21" t="s">
        <v>441</v>
      </c>
      <c r="E8" s="22">
        <v>1</v>
      </c>
      <c r="F8" s="18" t="s">
        <v>45</v>
      </c>
      <c r="G8" s="21"/>
      <c r="H8" s="21"/>
    </row>
    <row r="9" spans="1:8" ht="30" customHeight="1" x14ac:dyDescent="0.2">
      <c r="A9" s="14" t="s">
        <v>436</v>
      </c>
      <c r="B9" s="14" t="s">
        <v>437</v>
      </c>
      <c r="C9" s="15" t="s">
        <v>442</v>
      </c>
      <c r="D9" s="16" t="s">
        <v>443</v>
      </c>
      <c r="E9" s="22">
        <v>1</v>
      </c>
      <c r="F9" s="18" t="s">
        <v>45</v>
      </c>
      <c r="G9" s="16"/>
      <c r="H9" s="16"/>
    </row>
    <row r="10" spans="1:8" ht="30" customHeight="1" x14ac:dyDescent="0.2">
      <c r="A10" s="19" t="s">
        <v>436</v>
      </c>
      <c r="B10" s="19" t="s">
        <v>437</v>
      </c>
      <c r="C10" s="20" t="s">
        <v>444</v>
      </c>
      <c r="D10" s="21" t="s">
        <v>445</v>
      </c>
      <c r="E10" s="22">
        <v>1</v>
      </c>
      <c r="F10" s="18" t="s">
        <v>45</v>
      </c>
      <c r="G10" s="21"/>
      <c r="H10" s="21"/>
    </row>
    <row r="11" spans="1:8" ht="18" customHeight="1" x14ac:dyDescent="0.2">
      <c r="A11" s="13" t="s">
        <v>446</v>
      </c>
      <c r="B11" s="13" t="s">
        <v>447</v>
      </c>
      <c r="C11" s="13"/>
      <c r="D11" s="13"/>
      <c r="E11" s="13"/>
      <c r="F11" s="13"/>
      <c r="G11" s="13"/>
      <c r="H11" s="13"/>
    </row>
    <row r="12" spans="1:8" ht="30" customHeight="1" x14ac:dyDescent="0.2">
      <c r="A12" s="14" t="s">
        <v>446</v>
      </c>
      <c r="B12" s="14" t="s">
        <v>447</v>
      </c>
      <c r="C12" s="15" t="s">
        <v>448</v>
      </c>
      <c r="D12" s="16" t="s">
        <v>449</v>
      </c>
      <c r="E12" s="17">
        <v>2</v>
      </c>
      <c r="F12" s="18" t="s">
        <v>45</v>
      </c>
      <c r="G12" s="16"/>
      <c r="H12" s="16"/>
    </row>
    <row r="13" spans="1:8" ht="30" customHeight="1" x14ac:dyDescent="0.2">
      <c r="A13" s="19" t="s">
        <v>446</v>
      </c>
      <c r="B13" s="19" t="s">
        <v>447</v>
      </c>
      <c r="C13" s="20" t="s">
        <v>450</v>
      </c>
      <c r="D13" s="21" t="s">
        <v>451</v>
      </c>
      <c r="E13" s="17">
        <v>2</v>
      </c>
      <c r="F13" s="18" t="s">
        <v>45</v>
      </c>
      <c r="G13" s="21"/>
      <c r="H13" s="21"/>
    </row>
    <row r="14" spans="1:8" ht="18" customHeight="1" x14ac:dyDescent="0.2">
      <c r="A14" s="13" t="s">
        <v>452</v>
      </c>
      <c r="B14" s="13" t="s">
        <v>453</v>
      </c>
      <c r="C14" s="13"/>
      <c r="D14" s="13"/>
      <c r="E14" s="13"/>
      <c r="F14" s="13"/>
      <c r="G14" s="13"/>
      <c r="H14" s="13"/>
    </row>
    <row r="15" spans="1:8" ht="30" customHeight="1" x14ac:dyDescent="0.2">
      <c r="A15" s="14" t="s">
        <v>452</v>
      </c>
      <c r="B15" s="14" t="s">
        <v>453</v>
      </c>
      <c r="C15" s="15" t="s">
        <v>454</v>
      </c>
      <c r="D15" s="16" t="s">
        <v>455</v>
      </c>
      <c r="E15" s="22">
        <v>1</v>
      </c>
      <c r="F15" s="18" t="s">
        <v>45</v>
      </c>
      <c r="G15" s="23" t="s">
        <v>456</v>
      </c>
      <c r="H15" s="23" t="s">
        <v>457</v>
      </c>
    </row>
    <row r="16" spans="1:8" ht="30" customHeight="1" x14ac:dyDescent="0.2">
      <c r="A16" s="19" t="s">
        <v>452</v>
      </c>
      <c r="B16" s="19" t="s">
        <v>453</v>
      </c>
      <c r="C16" s="20" t="s">
        <v>458</v>
      </c>
      <c r="D16" s="21" t="s">
        <v>459</v>
      </c>
      <c r="E16" s="22">
        <v>1</v>
      </c>
      <c r="F16" s="18" t="s">
        <v>45</v>
      </c>
      <c r="G16" s="21"/>
      <c r="H16" s="21"/>
    </row>
    <row r="17" spans="1:8" ht="30" customHeight="1" x14ac:dyDescent="0.2">
      <c r="A17" s="14" t="s">
        <v>452</v>
      </c>
      <c r="B17" s="14" t="s">
        <v>453</v>
      </c>
      <c r="C17" s="15" t="s">
        <v>460</v>
      </c>
      <c r="D17" s="16" t="s">
        <v>461</v>
      </c>
      <c r="E17" s="17">
        <v>2</v>
      </c>
      <c r="F17" s="18" t="s">
        <v>45</v>
      </c>
      <c r="G17" s="16"/>
      <c r="H17" s="16"/>
    </row>
    <row r="18" spans="1:8" ht="30" customHeight="1" x14ac:dyDescent="0.2">
      <c r="A18" s="19" t="s">
        <v>452</v>
      </c>
      <c r="B18" s="19" t="s">
        <v>453</v>
      </c>
      <c r="C18" s="20" t="s">
        <v>462</v>
      </c>
      <c r="D18" s="21" t="s">
        <v>463</v>
      </c>
      <c r="E18" s="17">
        <v>2</v>
      </c>
      <c r="F18" s="18" t="s">
        <v>156</v>
      </c>
      <c r="G18" s="21"/>
      <c r="H18" s="21"/>
    </row>
    <row r="19" spans="1:8" ht="30" customHeight="1" x14ac:dyDescent="0.2">
      <c r="A19" s="14" t="s">
        <v>452</v>
      </c>
      <c r="B19" s="14" t="s">
        <v>453</v>
      </c>
      <c r="C19" s="15" t="s">
        <v>464</v>
      </c>
      <c r="D19" s="16" t="s">
        <v>465</v>
      </c>
      <c r="E19" s="17">
        <v>2</v>
      </c>
      <c r="F19" s="18" t="s">
        <v>156</v>
      </c>
      <c r="G19" s="16"/>
      <c r="H19" s="16"/>
    </row>
    <row r="20" spans="1:8" ht="18" customHeight="1" x14ac:dyDescent="0.2">
      <c r="A20" s="13" t="s">
        <v>466</v>
      </c>
      <c r="B20" s="13" t="s">
        <v>467</v>
      </c>
      <c r="C20" s="13"/>
      <c r="D20" s="13"/>
      <c r="E20" s="13"/>
      <c r="F20" s="13"/>
      <c r="G20" s="13"/>
      <c r="H20" s="13"/>
    </row>
    <row r="21" spans="1:8" ht="30" customHeight="1" x14ac:dyDescent="0.2">
      <c r="A21" s="14" t="s">
        <v>466</v>
      </c>
      <c r="B21" s="14" t="s">
        <v>467</v>
      </c>
      <c r="C21" s="15" t="s">
        <v>468</v>
      </c>
      <c r="D21" s="16" t="s">
        <v>469</v>
      </c>
      <c r="E21" s="17">
        <v>2</v>
      </c>
      <c r="F21" s="18" t="s">
        <v>156</v>
      </c>
      <c r="G21" s="16"/>
      <c r="H21" s="16"/>
    </row>
    <row r="22" spans="1:8" ht="30" customHeight="1" x14ac:dyDescent="0.2">
      <c r="A22" s="19" t="s">
        <v>466</v>
      </c>
      <c r="B22" s="19" t="s">
        <v>467</v>
      </c>
      <c r="C22" s="20" t="s">
        <v>470</v>
      </c>
      <c r="D22" s="21" t="s">
        <v>471</v>
      </c>
      <c r="E22" s="17">
        <v>2</v>
      </c>
      <c r="F22" s="18" t="s">
        <v>45</v>
      </c>
      <c r="G22" s="21" t="s">
        <v>965</v>
      </c>
      <c r="H22" s="21"/>
    </row>
    <row r="23" spans="1:8" ht="30" customHeight="1" x14ac:dyDescent="0.2">
      <c r="A23" s="14" t="s">
        <v>466</v>
      </c>
      <c r="B23" s="14" t="s">
        <v>467</v>
      </c>
      <c r="C23" s="15" t="s">
        <v>472</v>
      </c>
      <c r="D23" s="16" t="s">
        <v>473</v>
      </c>
      <c r="E23" s="25">
        <v>3</v>
      </c>
      <c r="F23" s="18" t="s">
        <v>156</v>
      </c>
      <c r="G23" s="16"/>
      <c r="H23" s="16"/>
    </row>
    <row r="24" spans="1:8" ht="18" customHeight="1" x14ac:dyDescent="0.2">
      <c r="A24" s="13" t="s">
        <v>474</v>
      </c>
      <c r="B24" s="13" t="s">
        <v>475</v>
      </c>
      <c r="C24" s="13"/>
      <c r="D24" s="13"/>
      <c r="E24" s="13"/>
      <c r="F24" s="13"/>
      <c r="G24" s="13"/>
      <c r="H24" s="13"/>
    </row>
    <row r="25" spans="1:8" ht="30" customHeight="1" x14ac:dyDescent="0.2">
      <c r="A25" s="14" t="s">
        <v>474</v>
      </c>
      <c r="B25" s="14" t="s">
        <v>475</v>
      </c>
      <c r="C25" s="15" t="s">
        <v>476</v>
      </c>
      <c r="D25" s="16" t="s">
        <v>477</v>
      </c>
      <c r="E25" s="17">
        <v>2</v>
      </c>
      <c r="F25" s="18" t="s">
        <v>156</v>
      </c>
      <c r="G25" s="16"/>
      <c r="H25" s="16"/>
    </row>
    <row r="26" spans="1:8" ht="30" customHeight="1" x14ac:dyDescent="0.2">
      <c r="A26" s="19" t="s">
        <v>474</v>
      </c>
      <c r="B26" s="19" t="s">
        <v>475</v>
      </c>
      <c r="C26" s="20" t="s">
        <v>478</v>
      </c>
      <c r="D26" s="21" t="s">
        <v>479</v>
      </c>
      <c r="E26" s="17">
        <v>2</v>
      </c>
      <c r="F26" s="18" t="s">
        <v>45</v>
      </c>
      <c r="G26" s="21"/>
      <c r="H26" s="21"/>
    </row>
  </sheetData>
  <conditionalFormatting sqref="F2:F26">
    <cfRule type="cellIs" dxfId="32" priority="2" operator="equal">
      <formula>"Compliant"</formula>
    </cfRule>
    <cfRule type="cellIs" dxfId="31" priority="3" operator="equal">
      <formula>"In Progress"</formula>
    </cfRule>
    <cfRule type="cellIs" dxfId="30"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125" zoomScaleNormal="125" workbookViewId="0">
      <pane ySplit="1" topLeftCell="A7" activePane="bottomLeft" state="frozen"/>
      <selection pane="bottomLeft" activeCell="G5" sqref="G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480</v>
      </c>
      <c r="B2" s="13" t="s">
        <v>481</v>
      </c>
      <c r="C2" s="13"/>
      <c r="D2" s="13"/>
      <c r="E2" s="13"/>
      <c r="F2" s="13"/>
      <c r="G2" s="13"/>
      <c r="H2" s="13"/>
    </row>
    <row r="3" spans="1:8" ht="30" customHeight="1" x14ac:dyDescent="0.2">
      <c r="A3" s="14" t="s">
        <v>480</v>
      </c>
      <c r="B3" s="14" t="s">
        <v>481</v>
      </c>
      <c r="C3" s="15" t="s">
        <v>482</v>
      </c>
      <c r="D3" s="16" t="s">
        <v>483</v>
      </c>
      <c r="E3" s="22">
        <v>1</v>
      </c>
      <c r="F3" s="18" t="s">
        <v>45</v>
      </c>
      <c r="G3" s="23" t="s">
        <v>484</v>
      </c>
      <c r="H3" s="23" t="s">
        <v>485</v>
      </c>
    </row>
    <row r="4" spans="1:8" ht="30" customHeight="1" x14ac:dyDescent="0.2">
      <c r="A4" s="19" t="s">
        <v>480</v>
      </c>
      <c r="B4" s="19" t="s">
        <v>481</v>
      </c>
      <c r="C4" s="20" t="s">
        <v>486</v>
      </c>
      <c r="D4" s="21" t="s">
        <v>487</v>
      </c>
      <c r="E4" s="17">
        <v>2</v>
      </c>
      <c r="F4" s="18" t="s">
        <v>156</v>
      </c>
      <c r="G4" s="21"/>
      <c r="H4" s="21"/>
    </row>
    <row r="5" spans="1:8" ht="30" customHeight="1" x14ac:dyDescent="0.2">
      <c r="A5" s="14" t="s">
        <v>480</v>
      </c>
      <c r="B5" s="14" t="s">
        <v>481</v>
      </c>
      <c r="C5" s="15" t="s">
        <v>488</v>
      </c>
      <c r="D5" s="16" t="s">
        <v>489</v>
      </c>
      <c r="E5" s="25">
        <v>3</v>
      </c>
      <c r="F5" s="18" t="s">
        <v>156</v>
      </c>
      <c r="G5" s="16"/>
      <c r="H5" s="16"/>
    </row>
    <row r="6" spans="1:8" ht="30" customHeight="1" x14ac:dyDescent="0.2">
      <c r="A6" s="19" t="s">
        <v>480</v>
      </c>
      <c r="B6" s="19" t="s">
        <v>481</v>
      </c>
      <c r="C6" s="20" t="s">
        <v>490</v>
      </c>
      <c r="D6" s="21" t="s">
        <v>491</v>
      </c>
      <c r="E6" s="25">
        <v>3</v>
      </c>
      <c r="F6" s="18" t="s">
        <v>156</v>
      </c>
      <c r="G6" s="21"/>
      <c r="H6" s="21"/>
    </row>
    <row r="7" spans="1:8" ht="18" customHeight="1" x14ac:dyDescent="0.2">
      <c r="A7" s="13" t="s">
        <v>492</v>
      </c>
      <c r="B7" s="13" t="s">
        <v>493</v>
      </c>
      <c r="C7" s="13"/>
      <c r="D7" s="13"/>
      <c r="E7" s="13"/>
      <c r="F7" s="13"/>
      <c r="G7" s="13"/>
      <c r="H7" s="13"/>
    </row>
    <row r="8" spans="1:8" ht="30" customHeight="1" x14ac:dyDescent="0.2">
      <c r="A8" s="14" t="s">
        <v>492</v>
      </c>
      <c r="B8" s="14" t="s">
        <v>493</v>
      </c>
      <c r="C8" s="15" t="s">
        <v>494</v>
      </c>
      <c r="D8" s="16" t="s">
        <v>495</v>
      </c>
      <c r="E8" s="22">
        <v>1</v>
      </c>
      <c r="F8" s="18" t="s">
        <v>45</v>
      </c>
      <c r="G8" s="16" t="s">
        <v>959</v>
      </c>
      <c r="H8" s="16"/>
    </row>
    <row r="9" spans="1:8" ht="30" customHeight="1" x14ac:dyDescent="0.2">
      <c r="A9" s="19" t="s">
        <v>492</v>
      </c>
      <c r="B9" s="19" t="s">
        <v>493</v>
      </c>
      <c r="C9" s="20" t="s">
        <v>496</v>
      </c>
      <c r="D9" s="21" t="s">
        <v>497</v>
      </c>
      <c r="E9" s="22">
        <v>1</v>
      </c>
      <c r="F9" s="18" t="s">
        <v>45</v>
      </c>
      <c r="G9" s="24" t="s">
        <v>498</v>
      </c>
      <c r="H9" s="24" t="s">
        <v>499</v>
      </c>
    </row>
    <row r="10" spans="1:8" ht="30" customHeight="1" x14ac:dyDescent="0.2">
      <c r="A10" s="14" t="s">
        <v>492</v>
      </c>
      <c r="B10" s="14" t="s">
        <v>493</v>
      </c>
      <c r="C10" s="15" t="s">
        <v>500</v>
      </c>
      <c r="D10" s="16" t="s">
        <v>501</v>
      </c>
      <c r="E10" s="17">
        <v>2</v>
      </c>
      <c r="F10" s="18" t="s">
        <v>156</v>
      </c>
      <c r="G10" s="16"/>
      <c r="H10" s="16"/>
    </row>
    <row r="11" spans="1:8" ht="30" customHeight="1" x14ac:dyDescent="0.2">
      <c r="A11" s="19" t="s">
        <v>492</v>
      </c>
      <c r="B11" s="19" t="s">
        <v>493</v>
      </c>
      <c r="C11" s="20" t="s">
        <v>502</v>
      </c>
      <c r="D11" s="21" t="s">
        <v>503</v>
      </c>
      <c r="E11" s="25">
        <v>3</v>
      </c>
      <c r="F11" s="18" t="s">
        <v>156</v>
      </c>
      <c r="G11" s="21"/>
      <c r="H11" s="21"/>
    </row>
    <row r="12" spans="1:8" ht="18" customHeight="1" x14ac:dyDescent="0.2">
      <c r="A12" s="13" t="s">
        <v>504</v>
      </c>
      <c r="B12" s="13" t="s">
        <v>505</v>
      </c>
      <c r="C12" s="13"/>
      <c r="D12" s="13"/>
      <c r="E12" s="13"/>
      <c r="F12" s="13"/>
      <c r="G12" s="13"/>
      <c r="H12" s="13"/>
    </row>
    <row r="13" spans="1:8" ht="30" customHeight="1" x14ac:dyDescent="0.2">
      <c r="A13" s="14" t="s">
        <v>504</v>
      </c>
      <c r="B13" s="14" t="s">
        <v>505</v>
      </c>
      <c r="C13" s="15" t="s">
        <v>506</v>
      </c>
      <c r="D13" s="16" t="s">
        <v>507</v>
      </c>
      <c r="E13" s="22">
        <v>1</v>
      </c>
      <c r="F13" s="18" t="s">
        <v>45</v>
      </c>
      <c r="G13" s="16" t="s">
        <v>960</v>
      </c>
      <c r="H13" s="16"/>
    </row>
    <row r="14" spans="1:8" ht="30" customHeight="1" x14ac:dyDescent="0.2">
      <c r="A14" s="19" t="s">
        <v>504</v>
      </c>
      <c r="B14" s="19" t="s">
        <v>505</v>
      </c>
      <c r="C14" s="20" t="s">
        <v>508</v>
      </c>
      <c r="D14" s="21" t="s">
        <v>509</v>
      </c>
      <c r="E14" s="25">
        <v>3</v>
      </c>
      <c r="F14" s="18" t="s">
        <v>156</v>
      </c>
      <c r="G14" s="21"/>
      <c r="H14" s="21"/>
    </row>
    <row r="15" spans="1:8" ht="30" customHeight="1" x14ac:dyDescent="0.2">
      <c r="A15" s="14" t="s">
        <v>504</v>
      </c>
      <c r="B15" s="14" t="s">
        <v>505</v>
      </c>
      <c r="C15" s="15" t="s">
        <v>510</v>
      </c>
      <c r="D15" s="16" t="s">
        <v>511</v>
      </c>
      <c r="E15" s="25">
        <v>3</v>
      </c>
      <c r="F15" s="18" t="s">
        <v>156</v>
      </c>
      <c r="G15" s="16"/>
      <c r="H15" s="16"/>
    </row>
    <row r="16" spans="1:8" ht="18" customHeight="1" x14ac:dyDescent="0.2">
      <c r="A16" s="13" t="s">
        <v>512</v>
      </c>
      <c r="B16" s="13" t="s">
        <v>513</v>
      </c>
      <c r="C16" s="13"/>
      <c r="D16" s="13"/>
      <c r="E16" s="13"/>
      <c r="F16" s="13"/>
      <c r="G16" s="13"/>
      <c r="H16" s="13"/>
    </row>
    <row r="17" spans="1:8" ht="30" customHeight="1" x14ac:dyDescent="0.2">
      <c r="A17" s="14" t="s">
        <v>512</v>
      </c>
      <c r="B17" s="14" t="s">
        <v>513</v>
      </c>
      <c r="C17" s="15" t="s">
        <v>514</v>
      </c>
      <c r="D17" s="16" t="s">
        <v>515</v>
      </c>
      <c r="E17" s="17">
        <v>2</v>
      </c>
      <c r="F17" s="18" t="s">
        <v>156</v>
      </c>
      <c r="G17" s="16"/>
      <c r="H17" s="16"/>
    </row>
    <row r="18" spans="1:8" ht="30" customHeight="1" x14ac:dyDescent="0.2">
      <c r="A18" s="19" t="s">
        <v>512</v>
      </c>
      <c r="B18" s="19" t="s">
        <v>513</v>
      </c>
      <c r="C18" s="20" t="s">
        <v>516</v>
      </c>
      <c r="D18" s="21" t="s">
        <v>517</v>
      </c>
      <c r="E18" s="25">
        <v>3</v>
      </c>
      <c r="F18" s="18" t="s">
        <v>156</v>
      </c>
      <c r="G18" s="21"/>
      <c r="H18" s="21"/>
    </row>
  </sheetData>
  <conditionalFormatting sqref="F2:F18">
    <cfRule type="cellIs" dxfId="29" priority="2" operator="equal">
      <formula>"Compliant"</formula>
    </cfRule>
    <cfRule type="cellIs" dxfId="28" priority="3" operator="equal">
      <formula>"In Progress"</formula>
    </cfRule>
    <cfRule type="cellIs" dxfId="27"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topLeftCell="D1" zoomScale="133" zoomScaleNormal="133" workbookViewId="0">
      <pane ySplit="1" topLeftCell="A2" activePane="bottomLeft" state="frozen"/>
      <selection pane="bottomLeft" activeCell="F10" sqref="F10"/>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518</v>
      </c>
      <c r="B2" s="13" t="s">
        <v>519</v>
      </c>
      <c r="C2" s="13"/>
      <c r="D2" s="13"/>
      <c r="E2" s="13"/>
      <c r="F2" s="13"/>
      <c r="G2" s="13"/>
      <c r="H2" s="13"/>
    </row>
    <row r="3" spans="1:8" ht="30" customHeight="1" x14ac:dyDescent="0.2">
      <c r="A3" s="14" t="s">
        <v>518</v>
      </c>
      <c r="B3" s="14" t="s">
        <v>519</v>
      </c>
      <c r="C3" s="15" t="s">
        <v>520</v>
      </c>
      <c r="D3" s="16" t="s">
        <v>521</v>
      </c>
      <c r="E3" s="22">
        <v>1</v>
      </c>
      <c r="F3" s="18" t="s">
        <v>45</v>
      </c>
      <c r="G3" s="23" t="s">
        <v>522</v>
      </c>
      <c r="H3" s="23" t="s">
        <v>523</v>
      </c>
    </row>
    <row r="4" spans="1:8" ht="30" customHeight="1" x14ac:dyDescent="0.2">
      <c r="A4" s="19" t="s">
        <v>518</v>
      </c>
      <c r="B4" s="19" t="s">
        <v>519</v>
      </c>
      <c r="C4" s="20" t="s">
        <v>524</v>
      </c>
      <c r="D4" s="21" t="s">
        <v>525</v>
      </c>
      <c r="E4" s="22">
        <v>1</v>
      </c>
      <c r="F4" s="18" t="s">
        <v>45</v>
      </c>
      <c r="G4" s="21"/>
      <c r="H4" s="21"/>
    </row>
    <row r="5" spans="1:8" ht="30" customHeight="1" x14ac:dyDescent="0.2">
      <c r="A5" s="14" t="s">
        <v>518</v>
      </c>
      <c r="B5" s="14" t="s">
        <v>519</v>
      </c>
      <c r="C5" s="15" t="s">
        <v>526</v>
      </c>
      <c r="D5" s="16" t="s">
        <v>527</v>
      </c>
      <c r="E5" s="22">
        <v>1</v>
      </c>
      <c r="F5" s="18" t="s">
        <v>45</v>
      </c>
      <c r="G5" s="16"/>
      <c r="H5" s="16"/>
    </row>
    <row r="6" spans="1:8" ht="18" customHeight="1" x14ac:dyDescent="0.2">
      <c r="A6" s="13" t="s">
        <v>528</v>
      </c>
      <c r="B6" s="13" t="s">
        <v>529</v>
      </c>
      <c r="C6" s="13"/>
      <c r="D6" s="13"/>
      <c r="E6" s="13"/>
      <c r="F6" s="13"/>
      <c r="G6" s="13"/>
      <c r="H6" s="13"/>
    </row>
    <row r="7" spans="1:8" ht="30" customHeight="1" x14ac:dyDescent="0.2">
      <c r="A7" s="14" t="s">
        <v>528</v>
      </c>
      <c r="B7" s="14" t="s">
        <v>529</v>
      </c>
      <c r="C7" s="15" t="s">
        <v>530</v>
      </c>
      <c r="D7" s="16" t="s">
        <v>531</v>
      </c>
      <c r="E7" s="22">
        <v>1</v>
      </c>
      <c r="F7" s="18" t="s">
        <v>45</v>
      </c>
      <c r="G7" s="16"/>
      <c r="H7" s="16"/>
    </row>
    <row r="8" spans="1:8" ht="30" customHeight="1" x14ac:dyDescent="0.2">
      <c r="A8" s="19" t="s">
        <v>528</v>
      </c>
      <c r="B8" s="19" t="s">
        <v>529</v>
      </c>
      <c r="C8" s="20" t="s">
        <v>532</v>
      </c>
      <c r="D8" s="21" t="s">
        <v>533</v>
      </c>
      <c r="E8" s="17">
        <v>2</v>
      </c>
      <c r="F8" s="18" t="s">
        <v>45</v>
      </c>
      <c r="G8" s="21"/>
      <c r="H8" s="21"/>
    </row>
    <row r="9" spans="1:8" ht="30" customHeight="1" x14ac:dyDescent="0.2">
      <c r="A9" s="14" t="s">
        <v>528</v>
      </c>
      <c r="B9" s="14" t="s">
        <v>529</v>
      </c>
      <c r="C9" s="15" t="s">
        <v>534</v>
      </c>
      <c r="D9" s="16" t="s">
        <v>535</v>
      </c>
      <c r="E9" s="17">
        <v>2</v>
      </c>
      <c r="F9" s="18" t="s">
        <v>156</v>
      </c>
      <c r="G9" s="16"/>
      <c r="H9" s="16"/>
    </row>
    <row r="10" spans="1:8" ht="30" customHeight="1" x14ac:dyDescent="0.2">
      <c r="A10" s="19" t="s">
        <v>528</v>
      </c>
      <c r="B10" s="19" t="s">
        <v>529</v>
      </c>
      <c r="C10" s="20" t="s">
        <v>536</v>
      </c>
      <c r="D10" s="21" t="s">
        <v>537</v>
      </c>
      <c r="E10" s="17">
        <v>2</v>
      </c>
      <c r="F10" s="18" t="s">
        <v>156</v>
      </c>
      <c r="G10" s="21"/>
      <c r="H10" s="21"/>
    </row>
  </sheetData>
  <conditionalFormatting sqref="F2:F10">
    <cfRule type="cellIs" dxfId="26" priority="2" operator="equal">
      <formula>"Compliant"</formula>
    </cfRule>
    <cfRule type="cellIs" dxfId="25" priority="3" operator="equal">
      <formula>"In Progress"</formula>
    </cfRule>
    <cfRule type="cellIs" dxfId="24"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107" zoomScaleNormal="107" workbookViewId="0">
      <pane ySplit="1" topLeftCell="A2" activePane="bottomLeft" state="frozen"/>
      <selection pane="bottomLeft" activeCell="G40" sqref="G40"/>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538</v>
      </c>
      <c r="B2" s="13" t="s">
        <v>539</v>
      </c>
      <c r="C2" s="13"/>
      <c r="D2" s="13"/>
      <c r="E2" s="13"/>
      <c r="F2" s="13"/>
      <c r="G2" s="13"/>
      <c r="H2" s="13"/>
    </row>
    <row r="3" spans="1:8" ht="30" customHeight="1" x14ac:dyDescent="0.2">
      <c r="A3" s="14" t="s">
        <v>538</v>
      </c>
      <c r="B3" s="14" t="s">
        <v>539</v>
      </c>
      <c r="C3" s="15" t="s">
        <v>540</v>
      </c>
      <c r="D3" s="16" t="s">
        <v>541</v>
      </c>
      <c r="E3" s="17">
        <v>2</v>
      </c>
      <c r="F3" s="18" t="s">
        <v>156</v>
      </c>
      <c r="G3" s="16"/>
      <c r="H3" s="16"/>
    </row>
    <row r="4" spans="1:8" ht="30" customHeight="1" x14ac:dyDescent="0.2">
      <c r="A4" s="19" t="s">
        <v>538</v>
      </c>
      <c r="B4" s="19" t="s">
        <v>539</v>
      </c>
      <c r="C4" s="20" t="s">
        <v>542</v>
      </c>
      <c r="D4" s="21" t="s">
        <v>543</v>
      </c>
      <c r="E4" s="17">
        <v>2</v>
      </c>
      <c r="F4" s="18" t="s">
        <v>156</v>
      </c>
      <c r="G4" s="21"/>
      <c r="H4" s="21"/>
    </row>
    <row r="5" spans="1:8" ht="18" customHeight="1" x14ac:dyDescent="0.2">
      <c r="A5" s="13" t="s">
        <v>544</v>
      </c>
      <c r="B5" s="13" t="s">
        <v>545</v>
      </c>
      <c r="C5" s="13"/>
      <c r="D5" s="13"/>
      <c r="E5" s="13"/>
      <c r="F5" s="13"/>
      <c r="G5" s="13"/>
      <c r="H5" s="13"/>
    </row>
    <row r="6" spans="1:8" ht="30" customHeight="1" x14ac:dyDescent="0.2">
      <c r="A6" s="14" t="s">
        <v>544</v>
      </c>
      <c r="B6" s="14" t="s">
        <v>545</v>
      </c>
      <c r="C6" s="15" t="s">
        <v>546</v>
      </c>
      <c r="D6" s="16" t="s">
        <v>547</v>
      </c>
      <c r="E6" s="17">
        <v>2</v>
      </c>
      <c r="F6" s="18" t="s">
        <v>156</v>
      </c>
      <c r="G6" s="16"/>
      <c r="H6" s="16"/>
    </row>
    <row r="7" spans="1:8" ht="30" customHeight="1" x14ac:dyDescent="0.2">
      <c r="A7" s="19" t="s">
        <v>544</v>
      </c>
      <c r="B7" s="19" t="s">
        <v>545</v>
      </c>
      <c r="C7" s="20" t="s">
        <v>548</v>
      </c>
      <c r="D7" s="21" t="s">
        <v>549</v>
      </c>
      <c r="E7" s="17">
        <v>2</v>
      </c>
      <c r="F7" s="18" t="s">
        <v>156</v>
      </c>
      <c r="G7" s="21"/>
      <c r="H7" s="21"/>
    </row>
    <row r="8" spans="1:8" ht="30" customHeight="1" x14ac:dyDescent="0.2">
      <c r="A8" s="14" t="s">
        <v>544</v>
      </c>
      <c r="B8" s="14" t="s">
        <v>545</v>
      </c>
      <c r="C8" s="15" t="s">
        <v>550</v>
      </c>
      <c r="D8" s="16" t="s">
        <v>551</v>
      </c>
      <c r="E8" s="25">
        <v>3</v>
      </c>
      <c r="F8" s="18" t="s">
        <v>156</v>
      </c>
      <c r="G8" s="16"/>
      <c r="H8" s="16"/>
    </row>
    <row r="9" spans="1:8" ht="18" customHeight="1" x14ac:dyDescent="0.2">
      <c r="A9" s="13" t="s">
        <v>552</v>
      </c>
      <c r="B9" s="13" t="s">
        <v>553</v>
      </c>
      <c r="C9" s="13"/>
      <c r="D9" s="13"/>
      <c r="E9" s="13"/>
      <c r="F9" s="13"/>
      <c r="G9" s="13"/>
      <c r="H9" s="13"/>
    </row>
    <row r="10" spans="1:8" ht="30" customHeight="1" x14ac:dyDescent="0.2">
      <c r="A10" s="14" t="s">
        <v>552</v>
      </c>
      <c r="B10" s="14" t="s">
        <v>553</v>
      </c>
      <c r="C10" s="15" t="s">
        <v>554</v>
      </c>
      <c r="D10" s="16" t="s">
        <v>555</v>
      </c>
      <c r="E10" s="17">
        <v>2</v>
      </c>
      <c r="F10" s="18" t="s">
        <v>156</v>
      </c>
      <c r="G10" s="16"/>
      <c r="H10" s="16"/>
    </row>
    <row r="11" spans="1:8" ht="30" customHeight="1" x14ac:dyDescent="0.2">
      <c r="A11" s="19" t="s">
        <v>552</v>
      </c>
      <c r="B11" s="19" t="s">
        <v>553</v>
      </c>
      <c r="C11" s="20" t="s">
        <v>556</v>
      </c>
      <c r="D11" s="21" t="s">
        <v>557</v>
      </c>
      <c r="E11" s="17">
        <v>2</v>
      </c>
      <c r="F11" s="18" t="s">
        <v>45</v>
      </c>
      <c r="G11" s="21" t="s">
        <v>961</v>
      </c>
      <c r="H11" s="21"/>
    </row>
    <row r="12" spans="1:8" ht="30" customHeight="1" x14ac:dyDescent="0.2">
      <c r="A12" s="14" t="s">
        <v>552</v>
      </c>
      <c r="B12" s="14" t="s">
        <v>553</v>
      </c>
      <c r="C12" s="15" t="s">
        <v>558</v>
      </c>
      <c r="D12" s="16" t="s">
        <v>559</v>
      </c>
      <c r="E12" s="17">
        <v>2</v>
      </c>
      <c r="F12" s="18" t="s">
        <v>45</v>
      </c>
      <c r="G12" s="16" t="s">
        <v>962</v>
      </c>
      <c r="H12" s="16"/>
    </row>
    <row r="13" spans="1:8" ht="30" customHeight="1" x14ac:dyDescent="0.2">
      <c r="A13" s="19" t="s">
        <v>552</v>
      </c>
      <c r="B13" s="19" t="s">
        <v>553</v>
      </c>
      <c r="C13" s="20" t="s">
        <v>560</v>
      </c>
      <c r="D13" s="21" t="s">
        <v>561</v>
      </c>
      <c r="E13" s="17">
        <v>2</v>
      </c>
      <c r="F13" s="18" t="s">
        <v>156</v>
      </c>
      <c r="G13" s="21"/>
      <c r="H13" s="21"/>
    </row>
    <row r="14" spans="1:8" ht="30" customHeight="1" x14ac:dyDescent="0.2">
      <c r="A14" s="14" t="s">
        <v>552</v>
      </c>
      <c r="B14" s="14" t="s">
        <v>553</v>
      </c>
      <c r="C14" s="15" t="s">
        <v>562</v>
      </c>
      <c r="D14" s="16" t="s">
        <v>563</v>
      </c>
      <c r="E14" s="25">
        <v>3</v>
      </c>
      <c r="F14" s="18" t="s">
        <v>45</v>
      </c>
      <c r="G14" s="16" t="s">
        <v>963</v>
      </c>
      <c r="H14" s="16"/>
    </row>
    <row r="15" spans="1:8" ht="18" customHeight="1" x14ac:dyDescent="0.2">
      <c r="A15" s="13" t="s">
        <v>564</v>
      </c>
      <c r="B15" s="13" t="s">
        <v>565</v>
      </c>
      <c r="C15" s="13"/>
      <c r="D15" s="13"/>
      <c r="E15" s="13"/>
      <c r="F15" s="13"/>
      <c r="G15" s="13"/>
      <c r="H15" s="13"/>
    </row>
    <row r="16" spans="1:8" ht="30" customHeight="1" x14ac:dyDescent="0.2">
      <c r="A16" s="14" t="s">
        <v>564</v>
      </c>
      <c r="B16" s="14" t="s">
        <v>565</v>
      </c>
      <c r="C16" s="15" t="s">
        <v>566</v>
      </c>
      <c r="D16" s="16" t="s">
        <v>567</v>
      </c>
      <c r="E16" s="22">
        <v>1</v>
      </c>
      <c r="F16" s="18" t="s">
        <v>156</v>
      </c>
      <c r="G16" s="16"/>
      <c r="H16" s="16"/>
    </row>
    <row r="17" spans="1:8" ht="30" customHeight="1" x14ac:dyDescent="0.2">
      <c r="A17" s="19" t="s">
        <v>564</v>
      </c>
      <c r="B17" s="19" t="s">
        <v>565</v>
      </c>
      <c r="C17" s="20" t="s">
        <v>568</v>
      </c>
      <c r="D17" s="21" t="s">
        <v>569</v>
      </c>
      <c r="E17" s="22">
        <v>1</v>
      </c>
      <c r="F17" s="18" t="s">
        <v>156</v>
      </c>
      <c r="G17" s="21"/>
      <c r="H17" s="21"/>
    </row>
    <row r="18" spans="1:8" ht="30" customHeight="1" x14ac:dyDescent="0.2">
      <c r="A18" s="14" t="s">
        <v>564</v>
      </c>
      <c r="B18" s="14" t="s">
        <v>565</v>
      </c>
      <c r="C18" s="15" t="s">
        <v>570</v>
      </c>
      <c r="D18" s="16" t="s">
        <v>571</v>
      </c>
      <c r="E18" s="22">
        <v>1</v>
      </c>
      <c r="F18" s="18" t="s">
        <v>156</v>
      </c>
      <c r="G18" s="16"/>
      <c r="H18" s="16"/>
    </row>
    <row r="19" spans="1:8" ht="30" customHeight="1" x14ac:dyDescent="0.2">
      <c r="A19" s="19" t="s">
        <v>564</v>
      </c>
      <c r="B19" s="19" t="s">
        <v>565</v>
      </c>
      <c r="C19" s="20" t="s">
        <v>572</v>
      </c>
      <c r="D19" s="21" t="s">
        <v>573</v>
      </c>
      <c r="E19" s="22">
        <v>1</v>
      </c>
      <c r="F19" s="18" t="s">
        <v>156</v>
      </c>
      <c r="G19" s="21"/>
      <c r="H19" s="21"/>
    </row>
    <row r="20" spans="1:8" ht="30" customHeight="1" x14ac:dyDescent="0.2">
      <c r="A20" s="14" t="s">
        <v>564</v>
      </c>
      <c r="B20" s="14" t="s">
        <v>565</v>
      </c>
      <c r="C20" s="15" t="s">
        <v>574</v>
      </c>
      <c r="D20" s="16" t="s">
        <v>575</v>
      </c>
      <c r="E20" s="22">
        <v>1</v>
      </c>
      <c r="F20" s="18" t="s">
        <v>156</v>
      </c>
      <c r="G20" s="16"/>
      <c r="H20" s="16"/>
    </row>
    <row r="21" spans="1:8" ht="30" customHeight="1" x14ac:dyDescent="0.2">
      <c r="A21" s="19" t="s">
        <v>564</v>
      </c>
      <c r="B21" s="19" t="s">
        <v>565</v>
      </c>
      <c r="C21" s="20" t="s">
        <v>576</v>
      </c>
      <c r="D21" s="21" t="s">
        <v>577</v>
      </c>
      <c r="E21" s="17">
        <v>2</v>
      </c>
      <c r="F21" s="18" t="s">
        <v>156</v>
      </c>
      <c r="G21" s="21"/>
      <c r="H21" s="21"/>
    </row>
    <row r="22" spans="1:8" ht="30" customHeight="1" x14ac:dyDescent="0.2">
      <c r="A22" s="14" t="s">
        <v>564</v>
      </c>
      <c r="B22" s="14" t="s">
        <v>565</v>
      </c>
      <c r="C22" s="15" t="s">
        <v>578</v>
      </c>
      <c r="D22" s="16" t="s">
        <v>579</v>
      </c>
      <c r="E22" s="17">
        <v>2</v>
      </c>
      <c r="F22" s="18" t="s">
        <v>156</v>
      </c>
      <c r="G22" s="16"/>
      <c r="H22" s="16"/>
    </row>
    <row r="23" spans="1:8" ht="30" customHeight="1" x14ac:dyDescent="0.2">
      <c r="A23" s="19" t="s">
        <v>564</v>
      </c>
      <c r="B23" s="19" t="s">
        <v>565</v>
      </c>
      <c r="C23" s="20" t="s">
        <v>580</v>
      </c>
      <c r="D23" s="21" t="s">
        <v>581</v>
      </c>
      <c r="E23" s="17">
        <v>2</v>
      </c>
      <c r="F23" s="18" t="s">
        <v>156</v>
      </c>
      <c r="G23" s="21"/>
      <c r="H23" s="21"/>
    </row>
    <row r="24" spans="1:8" ht="30" customHeight="1" x14ac:dyDescent="0.2">
      <c r="A24" s="14" t="s">
        <v>564</v>
      </c>
      <c r="B24" s="14" t="s">
        <v>565</v>
      </c>
      <c r="C24" s="15" t="s">
        <v>582</v>
      </c>
      <c r="D24" s="16" t="s">
        <v>583</v>
      </c>
      <c r="E24" s="17">
        <v>2</v>
      </c>
      <c r="F24" s="18" t="s">
        <v>156</v>
      </c>
      <c r="G24" s="16"/>
      <c r="H24" s="16"/>
    </row>
    <row r="25" spans="1:8" ht="30" customHeight="1" x14ac:dyDescent="0.2">
      <c r="A25" s="19" t="s">
        <v>564</v>
      </c>
      <c r="B25" s="19" t="s">
        <v>565</v>
      </c>
      <c r="C25" s="20" t="s">
        <v>584</v>
      </c>
      <c r="D25" s="21" t="s">
        <v>585</v>
      </c>
      <c r="E25" s="17">
        <v>2</v>
      </c>
      <c r="F25" s="18" t="s">
        <v>156</v>
      </c>
      <c r="G25" s="21"/>
      <c r="H25" s="21"/>
    </row>
    <row r="26" spans="1:8" ht="30" customHeight="1" x14ac:dyDescent="0.2">
      <c r="A26" s="14" t="s">
        <v>564</v>
      </c>
      <c r="B26" s="14" t="s">
        <v>565</v>
      </c>
      <c r="C26" s="15" t="s">
        <v>586</v>
      </c>
      <c r="D26" s="16" t="s">
        <v>587</v>
      </c>
      <c r="E26" s="17">
        <v>2</v>
      </c>
      <c r="F26" s="18" t="s">
        <v>156</v>
      </c>
      <c r="G26" s="16"/>
      <c r="H26" s="16"/>
    </row>
    <row r="27" spans="1:8" ht="30" customHeight="1" x14ac:dyDescent="0.2">
      <c r="A27" s="19" t="s">
        <v>564</v>
      </c>
      <c r="B27" s="19" t="s">
        <v>565</v>
      </c>
      <c r="C27" s="20" t="s">
        <v>588</v>
      </c>
      <c r="D27" s="21" t="s">
        <v>589</v>
      </c>
      <c r="E27" s="25">
        <v>3</v>
      </c>
      <c r="F27" s="18" t="s">
        <v>156</v>
      </c>
      <c r="G27" s="21"/>
      <c r="H27" s="21"/>
    </row>
    <row r="28" spans="1:8" ht="30" customHeight="1" x14ac:dyDescent="0.2">
      <c r="A28" s="14" t="s">
        <v>564</v>
      </c>
      <c r="B28" s="14" t="s">
        <v>565</v>
      </c>
      <c r="C28" s="15" t="s">
        <v>590</v>
      </c>
      <c r="D28" s="16" t="s">
        <v>591</v>
      </c>
      <c r="E28" s="25">
        <v>3</v>
      </c>
      <c r="F28" s="18" t="s">
        <v>156</v>
      </c>
      <c r="G28" s="16"/>
      <c r="H28" s="16"/>
    </row>
    <row r="29" spans="1:8" ht="30" customHeight="1" x14ac:dyDescent="0.2">
      <c r="A29" s="19" t="s">
        <v>564</v>
      </c>
      <c r="B29" s="19" t="s">
        <v>565</v>
      </c>
      <c r="C29" s="20" t="s">
        <v>592</v>
      </c>
      <c r="D29" s="21" t="s">
        <v>593</v>
      </c>
      <c r="E29" s="25">
        <v>3</v>
      </c>
      <c r="F29" s="18" t="s">
        <v>156</v>
      </c>
      <c r="G29" s="21"/>
      <c r="H29" s="21"/>
    </row>
    <row r="30" spans="1:8" ht="30" customHeight="1" x14ac:dyDescent="0.2">
      <c r="A30" s="14" t="s">
        <v>564</v>
      </c>
      <c r="B30" s="14" t="s">
        <v>565</v>
      </c>
      <c r="C30" s="15" t="s">
        <v>594</v>
      </c>
      <c r="D30" s="16" t="s">
        <v>595</v>
      </c>
      <c r="E30" s="25">
        <v>3</v>
      </c>
      <c r="F30" s="18" t="s">
        <v>156</v>
      </c>
      <c r="G30" s="16"/>
      <c r="H30" s="16"/>
    </row>
    <row r="31" spans="1:8" ht="30" customHeight="1" x14ac:dyDescent="0.2">
      <c r="A31" s="19" t="s">
        <v>564</v>
      </c>
      <c r="B31" s="19" t="s">
        <v>565</v>
      </c>
      <c r="C31" s="20" t="s">
        <v>596</v>
      </c>
      <c r="D31" s="21" t="s">
        <v>597</v>
      </c>
      <c r="E31" s="25">
        <v>3</v>
      </c>
      <c r="F31" s="18" t="s">
        <v>156</v>
      </c>
      <c r="G31" s="21"/>
      <c r="H31" s="21"/>
    </row>
    <row r="32" spans="1:8" ht="18" customHeight="1" x14ac:dyDescent="0.2">
      <c r="A32" s="13" t="s">
        <v>598</v>
      </c>
      <c r="B32" s="13" t="s">
        <v>599</v>
      </c>
      <c r="C32" s="13"/>
      <c r="D32" s="13"/>
      <c r="E32" s="13"/>
      <c r="F32" s="13"/>
      <c r="G32" s="13"/>
      <c r="H32" s="13"/>
    </row>
    <row r="33" spans="1:8" ht="30" customHeight="1" x14ac:dyDescent="0.2">
      <c r="A33" s="14" t="s">
        <v>598</v>
      </c>
      <c r="B33" s="14" t="s">
        <v>599</v>
      </c>
      <c r="C33" s="15" t="s">
        <v>600</v>
      </c>
      <c r="D33" s="16" t="s">
        <v>601</v>
      </c>
      <c r="E33" s="17">
        <v>2</v>
      </c>
      <c r="F33" s="18" t="s">
        <v>156</v>
      </c>
      <c r="G33" s="16"/>
      <c r="H33" s="16"/>
    </row>
    <row r="34" spans="1:8" ht="30" customHeight="1" x14ac:dyDescent="0.2">
      <c r="A34" s="19" t="s">
        <v>598</v>
      </c>
      <c r="B34" s="19" t="s">
        <v>599</v>
      </c>
      <c r="C34" s="20" t="s">
        <v>602</v>
      </c>
      <c r="D34" s="21" t="s">
        <v>603</v>
      </c>
      <c r="E34" s="17">
        <v>2</v>
      </c>
      <c r="F34" s="18" t="s">
        <v>156</v>
      </c>
      <c r="G34" s="21"/>
      <c r="H34" s="21"/>
    </row>
    <row r="35" spans="1:8" ht="30" customHeight="1" x14ac:dyDescent="0.2">
      <c r="A35" s="14" t="s">
        <v>598</v>
      </c>
      <c r="B35" s="14" t="s">
        <v>599</v>
      </c>
      <c r="C35" s="15" t="s">
        <v>604</v>
      </c>
      <c r="D35" s="16" t="s">
        <v>605</v>
      </c>
      <c r="E35" s="17">
        <v>2</v>
      </c>
      <c r="F35" s="18" t="s">
        <v>156</v>
      </c>
      <c r="G35" s="16"/>
      <c r="H35" s="16"/>
    </row>
    <row r="36" spans="1:8" ht="30" customHeight="1" x14ac:dyDescent="0.2">
      <c r="A36" s="19" t="s">
        <v>598</v>
      </c>
      <c r="B36" s="19" t="s">
        <v>599</v>
      </c>
      <c r="C36" s="20" t="s">
        <v>606</v>
      </c>
      <c r="D36" s="21" t="s">
        <v>607</v>
      </c>
      <c r="E36" s="17">
        <v>2</v>
      </c>
      <c r="F36" s="18" t="s">
        <v>156</v>
      </c>
      <c r="G36" s="21"/>
      <c r="H36" s="21"/>
    </row>
    <row r="37" spans="1:8" ht="30" customHeight="1" x14ac:dyDescent="0.2">
      <c r="A37" s="14" t="s">
        <v>598</v>
      </c>
      <c r="B37" s="14" t="s">
        <v>599</v>
      </c>
      <c r="C37" s="15" t="s">
        <v>608</v>
      </c>
      <c r="D37" s="16" t="s">
        <v>609</v>
      </c>
      <c r="E37" s="17">
        <v>2</v>
      </c>
      <c r="F37" s="18" t="s">
        <v>156</v>
      </c>
      <c r="G37" s="16"/>
      <c r="H37" s="16"/>
    </row>
    <row r="38" spans="1:8" ht="18" customHeight="1" x14ac:dyDescent="0.2">
      <c r="A38" s="13" t="s">
        <v>610</v>
      </c>
      <c r="B38" s="13" t="s">
        <v>611</v>
      </c>
      <c r="C38" s="13"/>
      <c r="D38" s="13"/>
      <c r="E38" s="13"/>
      <c r="F38" s="13"/>
      <c r="G38" s="13"/>
      <c r="H38" s="13"/>
    </row>
    <row r="39" spans="1:8" ht="30" customHeight="1" x14ac:dyDescent="0.2">
      <c r="A39" s="14" t="s">
        <v>610</v>
      </c>
      <c r="B39" s="14" t="s">
        <v>611</v>
      </c>
      <c r="C39" s="15" t="s">
        <v>612</v>
      </c>
      <c r="D39" s="16" t="s">
        <v>613</v>
      </c>
      <c r="E39" s="17">
        <v>2</v>
      </c>
      <c r="F39" s="18" t="s">
        <v>156</v>
      </c>
      <c r="G39" s="16"/>
      <c r="H39" s="16"/>
    </row>
    <row r="40" spans="1:8" ht="30" customHeight="1" x14ac:dyDescent="0.2">
      <c r="A40" s="19" t="s">
        <v>610</v>
      </c>
      <c r="B40" s="19" t="s">
        <v>611</v>
      </c>
      <c r="C40" s="20" t="s">
        <v>614</v>
      </c>
      <c r="D40" s="21" t="s">
        <v>615</v>
      </c>
      <c r="E40" s="17">
        <v>2</v>
      </c>
      <c r="F40" s="18" t="s">
        <v>156</v>
      </c>
      <c r="G40" s="21"/>
      <c r="H40" s="21"/>
    </row>
    <row r="41" spans="1:8" ht="18" customHeight="1" x14ac:dyDescent="0.2">
      <c r="A41" s="13" t="s">
        <v>616</v>
      </c>
      <c r="B41" s="13" t="s">
        <v>617</v>
      </c>
      <c r="C41" s="13"/>
      <c r="D41" s="13"/>
      <c r="E41" s="13"/>
      <c r="F41" s="13"/>
      <c r="G41" s="13"/>
      <c r="H41" s="13"/>
    </row>
    <row r="42" spans="1:8" ht="30" customHeight="1" x14ac:dyDescent="0.2">
      <c r="A42" s="14" t="s">
        <v>616</v>
      </c>
      <c r="B42" s="14" t="s">
        <v>617</v>
      </c>
      <c r="C42" s="15" t="s">
        <v>618</v>
      </c>
      <c r="D42" s="16" t="s">
        <v>619</v>
      </c>
      <c r="E42" s="17">
        <v>2</v>
      </c>
      <c r="F42" s="18" t="s">
        <v>156</v>
      </c>
      <c r="G42" s="16"/>
      <c r="H42" s="16"/>
    </row>
    <row r="43" spans="1:8" ht="30" customHeight="1" x14ac:dyDescent="0.2">
      <c r="A43" s="19" t="s">
        <v>616</v>
      </c>
      <c r="B43" s="19" t="s">
        <v>617</v>
      </c>
      <c r="C43" s="20" t="s">
        <v>620</v>
      </c>
      <c r="D43" s="21" t="s">
        <v>621</v>
      </c>
      <c r="E43" s="17">
        <v>2</v>
      </c>
      <c r="F43" s="18" t="s">
        <v>156</v>
      </c>
      <c r="G43" s="21"/>
      <c r="H43" s="21"/>
    </row>
    <row r="44" spans="1:8" ht="30" customHeight="1" x14ac:dyDescent="0.2">
      <c r="A44" s="14" t="s">
        <v>616</v>
      </c>
      <c r="B44" s="14" t="s">
        <v>617</v>
      </c>
      <c r="C44" s="15" t="s">
        <v>622</v>
      </c>
      <c r="D44" s="16" t="s">
        <v>623</v>
      </c>
      <c r="E44" s="17">
        <v>2</v>
      </c>
      <c r="F44" s="18" t="s">
        <v>156</v>
      </c>
      <c r="G44" s="16"/>
      <c r="H44" s="16"/>
    </row>
  </sheetData>
  <conditionalFormatting sqref="F2:F44">
    <cfRule type="cellIs" dxfId="23" priority="2" operator="equal">
      <formula>"Compliant"</formula>
    </cfRule>
    <cfRule type="cellIs" dxfId="22" priority="3" operator="equal">
      <formula>"In Progress"</formula>
    </cfRule>
    <cfRule type="cellIs" dxfId="21"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Normal="100" workbookViewId="0">
      <pane ySplit="1" topLeftCell="A2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624</v>
      </c>
      <c r="B2" s="13" t="s">
        <v>625</v>
      </c>
      <c r="C2" s="13"/>
      <c r="D2" s="13"/>
      <c r="E2" s="13"/>
      <c r="F2" s="13"/>
      <c r="G2" s="13"/>
      <c r="H2" s="13"/>
    </row>
    <row r="3" spans="1:8" ht="30" customHeight="1" x14ac:dyDescent="0.2">
      <c r="A3" s="14" t="s">
        <v>624</v>
      </c>
      <c r="B3" s="14" t="s">
        <v>625</v>
      </c>
      <c r="C3" s="15" t="s">
        <v>626</v>
      </c>
      <c r="D3" s="16" t="s">
        <v>627</v>
      </c>
      <c r="E3" s="17">
        <v>2</v>
      </c>
      <c r="F3" s="18" t="s">
        <v>52</v>
      </c>
      <c r="G3" s="16"/>
      <c r="H3" s="16"/>
    </row>
    <row r="4" spans="1:8" ht="30" customHeight="1" x14ac:dyDescent="0.2">
      <c r="A4" s="19" t="s">
        <v>624</v>
      </c>
      <c r="B4" s="19" t="s">
        <v>625</v>
      </c>
      <c r="C4" s="20" t="s">
        <v>628</v>
      </c>
      <c r="D4" s="21" t="s">
        <v>629</v>
      </c>
      <c r="E4" s="17">
        <v>2</v>
      </c>
      <c r="F4" s="18" t="s">
        <v>52</v>
      </c>
      <c r="G4" s="21"/>
      <c r="H4" s="21"/>
    </row>
    <row r="5" spans="1:8" ht="30" customHeight="1" x14ac:dyDescent="0.2">
      <c r="A5" s="14" t="s">
        <v>624</v>
      </c>
      <c r="B5" s="14" t="s">
        <v>625</v>
      </c>
      <c r="C5" s="15" t="s">
        <v>630</v>
      </c>
      <c r="D5" s="16" t="s">
        <v>631</v>
      </c>
      <c r="E5" s="25">
        <v>3</v>
      </c>
      <c r="F5" s="18" t="s">
        <v>52</v>
      </c>
      <c r="G5" s="16"/>
      <c r="H5" s="16"/>
    </row>
    <row r="6" spans="1:8" ht="30" customHeight="1" x14ac:dyDescent="0.2">
      <c r="A6" s="19" t="s">
        <v>624</v>
      </c>
      <c r="B6" s="19" t="s">
        <v>625</v>
      </c>
      <c r="C6" s="20" t="s">
        <v>632</v>
      </c>
      <c r="D6" s="21" t="s">
        <v>633</v>
      </c>
      <c r="E6" s="25">
        <v>3</v>
      </c>
      <c r="F6" s="18" t="s">
        <v>52</v>
      </c>
      <c r="G6" s="21"/>
      <c r="H6" s="21"/>
    </row>
    <row r="7" spans="1:8" ht="18" customHeight="1" x14ac:dyDescent="0.2">
      <c r="A7" s="13" t="s">
        <v>634</v>
      </c>
      <c r="B7" s="13" t="s">
        <v>635</v>
      </c>
      <c r="C7" s="13"/>
      <c r="D7" s="13"/>
      <c r="E7" s="13"/>
      <c r="F7" s="13"/>
      <c r="G7" s="13"/>
      <c r="H7" s="13"/>
    </row>
    <row r="8" spans="1:8" ht="30" customHeight="1" x14ac:dyDescent="0.2">
      <c r="A8" s="14" t="s">
        <v>634</v>
      </c>
      <c r="B8" s="14" t="s">
        <v>635</v>
      </c>
      <c r="C8" s="15" t="s">
        <v>636</v>
      </c>
      <c r="D8" s="16" t="s">
        <v>637</v>
      </c>
      <c r="E8" s="17">
        <v>2</v>
      </c>
      <c r="F8" s="18" t="s">
        <v>52</v>
      </c>
      <c r="G8" s="16"/>
      <c r="H8" s="16"/>
    </row>
    <row r="9" spans="1:8" ht="30" customHeight="1" x14ac:dyDescent="0.2">
      <c r="A9" s="19" t="s">
        <v>634</v>
      </c>
      <c r="B9" s="19" t="s">
        <v>635</v>
      </c>
      <c r="C9" s="20" t="s">
        <v>638</v>
      </c>
      <c r="D9" s="21" t="s">
        <v>639</v>
      </c>
      <c r="E9" s="17">
        <v>2</v>
      </c>
      <c r="F9" s="18" t="s">
        <v>52</v>
      </c>
      <c r="G9" s="21"/>
      <c r="H9" s="21"/>
    </row>
    <row r="10" spans="1:8" ht="30" customHeight="1" x14ac:dyDescent="0.2">
      <c r="A10" s="14" t="s">
        <v>634</v>
      </c>
      <c r="B10" s="14" t="s">
        <v>635</v>
      </c>
      <c r="C10" s="15" t="s">
        <v>640</v>
      </c>
      <c r="D10" s="16" t="s">
        <v>641</v>
      </c>
      <c r="E10" s="17">
        <v>2</v>
      </c>
      <c r="F10" s="18" t="s">
        <v>52</v>
      </c>
      <c r="G10" s="16"/>
      <c r="H10" s="16"/>
    </row>
    <row r="11" spans="1:8" ht="30" customHeight="1" x14ac:dyDescent="0.2">
      <c r="A11" s="19" t="s">
        <v>634</v>
      </c>
      <c r="B11" s="19" t="s">
        <v>635</v>
      </c>
      <c r="C11" s="20" t="s">
        <v>642</v>
      </c>
      <c r="D11" s="21" t="s">
        <v>643</v>
      </c>
      <c r="E11" s="25">
        <v>3</v>
      </c>
      <c r="F11" s="18" t="s">
        <v>52</v>
      </c>
      <c r="G11" s="21"/>
      <c r="H11" s="21"/>
    </row>
    <row r="12" spans="1:8" ht="30" customHeight="1" x14ac:dyDescent="0.2">
      <c r="A12" s="14" t="s">
        <v>634</v>
      </c>
      <c r="B12" s="14" t="s">
        <v>635</v>
      </c>
      <c r="C12" s="15" t="s">
        <v>644</v>
      </c>
      <c r="D12" s="16" t="s">
        <v>645</v>
      </c>
      <c r="E12" s="25">
        <v>3</v>
      </c>
      <c r="F12" s="18" t="s">
        <v>52</v>
      </c>
      <c r="G12" s="16"/>
      <c r="H12" s="16"/>
    </row>
    <row r="13" spans="1:8" ht="18" customHeight="1" x14ac:dyDescent="0.2">
      <c r="A13" s="13" t="s">
        <v>646</v>
      </c>
      <c r="B13" s="13" t="s">
        <v>647</v>
      </c>
      <c r="C13" s="13"/>
      <c r="D13" s="13"/>
      <c r="E13" s="13"/>
      <c r="F13" s="13"/>
      <c r="G13" s="13"/>
      <c r="H13" s="13"/>
    </row>
    <row r="14" spans="1:8" ht="30" customHeight="1" x14ac:dyDescent="0.2">
      <c r="A14" s="14" t="s">
        <v>646</v>
      </c>
      <c r="B14" s="14" t="s">
        <v>647</v>
      </c>
      <c r="C14" s="15" t="s">
        <v>648</v>
      </c>
      <c r="D14" s="16" t="s">
        <v>649</v>
      </c>
      <c r="E14" s="22">
        <v>1</v>
      </c>
      <c r="F14" s="18" t="s">
        <v>52</v>
      </c>
      <c r="G14" s="16"/>
      <c r="H14" s="16"/>
    </row>
    <row r="15" spans="1:8" ht="30" customHeight="1" x14ac:dyDescent="0.2">
      <c r="A15" s="19" t="s">
        <v>646</v>
      </c>
      <c r="B15" s="19" t="s">
        <v>647</v>
      </c>
      <c r="C15" s="20" t="s">
        <v>650</v>
      </c>
      <c r="D15" s="21" t="s">
        <v>651</v>
      </c>
      <c r="E15" s="22">
        <v>1</v>
      </c>
      <c r="F15" s="18" t="s">
        <v>52</v>
      </c>
      <c r="G15" s="21"/>
      <c r="H15" s="21"/>
    </row>
    <row r="16" spans="1:8" ht="30" customHeight="1" x14ac:dyDescent="0.2">
      <c r="A16" s="14" t="s">
        <v>646</v>
      </c>
      <c r="B16" s="14" t="s">
        <v>647</v>
      </c>
      <c r="C16" s="15" t="s">
        <v>652</v>
      </c>
      <c r="D16" s="16" t="s">
        <v>653</v>
      </c>
      <c r="E16" s="17">
        <v>2</v>
      </c>
      <c r="F16" s="18" t="s">
        <v>52</v>
      </c>
      <c r="G16" s="16"/>
      <c r="H16" s="16"/>
    </row>
    <row r="17" spans="1:8" ht="30" customHeight="1" x14ac:dyDescent="0.2">
      <c r="A17" s="19" t="s">
        <v>646</v>
      </c>
      <c r="B17" s="19" t="s">
        <v>647</v>
      </c>
      <c r="C17" s="20" t="s">
        <v>654</v>
      </c>
      <c r="D17" s="21" t="s">
        <v>655</v>
      </c>
      <c r="E17" s="25">
        <v>3</v>
      </c>
      <c r="F17" s="18" t="s">
        <v>52</v>
      </c>
      <c r="G17" s="21"/>
      <c r="H17" s="21"/>
    </row>
    <row r="18" spans="1:8" ht="30" customHeight="1" x14ac:dyDescent="0.2">
      <c r="A18" s="14" t="s">
        <v>646</v>
      </c>
      <c r="B18" s="14" t="s">
        <v>647</v>
      </c>
      <c r="C18" s="15" t="s">
        <v>656</v>
      </c>
      <c r="D18" s="16" t="s">
        <v>657</v>
      </c>
      <c r="E18" s="25">
        <v>3</v>
      </c>
      <c r="F18" s="18" t="s">
        <v>52</v>
      </c>
      <c r="G18" s="16"/>
      <c r="H18" s="16"/>
    </row>
    <row r="19" spans="1:8" ht="18" customHeight="1" x14ac:dyDescent="0.2">
      <c r="A19" s="13" t="s">
        <v>658</v>
      </c>
      <c r="B19" s="13" t="s">
        <v>659</v>
      </c>
      <c r="C19" s="13"/>
      <c r="D19" s="13"/>
      <c r="E19" s="13"/>
      <c r="F19" s="13"/>
      <c r="G19" s="13"/>
      <c r="H19" s="13"/>
    </row>
    <row r="20" spans="1:8" ht="30" customHeight="1" x14ac:dyDescent="0.2">
      <c r="A20" s="14" t="s">
        <v>658</v>
      </c>
      <c r="B20" s="14" t="s">
        <v>659</v>
      </c>
      <c r="C20" s="15" t="s">
        <v>660</v>
      </c>
      <c r="D20" s="16" t="s">
        <v>661</v>
      </c>
      <c r="E20" s="22">
        <v>1</v>
      </c>
      <c r="F20" s="18" t="s">
        <v>52</v>
      </c>
      <c r="G20" s="16"/>
      <c r="H20" s="16"/>
    </row>
    <row r="21" spans="1:8" ht="30" customHeight="1" x14ac:dyDescent="0.2">
      <c r="A21" s="19" t="s">
        <v>658</v>
      </c>
      <c r="B21" s="19" t="s">
        <v>659</v>
      </c>
      <c r="C21" s="20" t="s">
        <v>662</v>
      </c>
      <c r="D21" s="21" t="s">
        <v>663</v>
      </c>
      <c r="E21" s="17">
        <v>2</v>
      </c>
      <c r="F21" s="18" t="s">
        <v>52</v>
      </c>
      <c r="G21" s="21"/>
      <c r="H21" s="21"/>
    </row>
    <row r="22" spans="1:8" ht="30" customHeight="1" x14ac:dyDescent="0.2">
      <c r="A22" s="14" t="s">
        <v>658</v>
      </c>
      <c r="B22" s="14" t="s">
        <v>659</v>
      </c>
      <c r="C22" s="15" t="s">
        <v>664</v>
      </c>
      <c r="D22" s="16" t="s">
        <v>665</v>
      </c>
      <c r="E22" s="17">
        <v>2</v>
      </c>
      <c r="F22" s="18" t="s">
        <v>52</v>
      </c>
      <c r="G22" s="16"/>
      <c r="H22" s="16"/>
    </row>
    <row r="23" spans="1:8" ht="30" customHeight="1" x14ac:dyDescent="0.2">
      <c r="A23" s="19" t="s">
        <v>658</v>
      </c>
      <c r="B23" s="19" t="s">
        <v>659</v>
      </c>
      <c r="C23" s="20" t="s">
        <v>666</v>
      </c>
      <c r="D23" s="21" t="s">
        <v>667</v>
      </c>
      <c r="E23" s="17">
        <v>2</v>
      </c>
      <c r="F23" s="18" t="s">
        <v>52</v>
      </c>
      <c r="G23" s="21"/>
      <c r="H23" s="21"/>
    </row>
    <row r="24" spans="1:8" ht="18" customHeight="1" x14ac:dyDescent="0.2">
      <c r="A24" s="13" t="s">
        <v>668</v>
      </c>
      <c r="B24" s="13" t="s">
        <v>669</v>
      </c>
      <c r="C24" s="13"/>
      <c r="D24" s="13"/>
      <c r="E24" s="13"/>
      <c r="F24" s="13"/>
      <c r="G24" s="13"/>
      <c r="H24" s="13"/>
    </row>
    <row r="25" spans="1:8" ht="30" customHeight="1" x14ac:dyDescent="0.2">
      <c r="A25" s="14" t="s">
        <v>668</v>
      </c>
      <c r="B25" s="14" t="s">
        <v>669</v>
      </c>
      <c r="C25" s="15" t="s">
        <v>670</v>
      </c>
      <c r="D25" s="16" t="s">
        <v>671</v>
      </c>
      <c r="E25" s="17">
        <v>2</v>
      </c>
      <c r="F25" s="18" t="s">
        <v>52</v>
      </c>
      <c r="G25" s="16"/>
      <c r="H25" s="16"/>
    </row>
    <row r="26" spans="1:8" ht="30" customHeight="1" x14ac:dyDescent="0.2">
      <c r="A26" s="19" t="s">
        <v>668</v>
      </c>
      <c r="B26" s="19" t="s">
        <v>669</v>
      </c>
      <c r="C26" s="20" t="s">
        <v>672</v>
      </c>
      <c r="D26" s="21" t="s">
        <v>673</v>
      </c>
      <c r="E26" s="25">
        <v>3</v>
      </c>
      <c r="F26" s="18" t="s">
        <v>52</v>
      </c>
      <c r="G26" s="21"/>
      <c r="H26" s="21"/>
    </row>
    <row r="27" spans="1:8" ht="18" customHeight="1" x14ac:dyDescent="0.2">
      <c r="A27" s="13" t="s">
        <v>674</v>
      </c>
      <c r="B27" s="13" t="s">
        <v>675</v>
      </c>
      <c r="C27" s="13"/>
      <c r="D27" s="13"/>
      <c r="E27" s="13"/>
      <c r="F27" s="13"/>
      <c r="G27" s="13"/>
      <c r="H27" s="13"/>
    </row>
    <row r="28" spans="1:8" ht="30" customHeight="1" x14ac:dyDescent="0.2">
      <c r="A28" s="14" t="s">
        <v>674</v>
      </c>
      <c r="B28" s="14" t="s">
        <v>675</v>
      </c>
      <c r="C28" s="15" t="s">
        <v>676</v>
      </c>
      <c r="D28" s="16" t="s">
        <v>677</v>
      </c>
      <c r="E28" s="17">
        <v>2</v>
      </c>
      <c r="F28" s="18" t="s">
        <v>52</v>
      </c>
      <c r="G28" s="16"/>
      <c r="H28" s="16"/>
    </row>
    <row r="29" spans="1:8" ht="30" customHeight="1" x14ac:dyDescent="0.2">
      <c r="A29" s="19" t="s">
        <v>674</v>
      </c>
      <c r="B29" s="19" t="s">
        <v>675</v>
      </c>
      <c r="C29" s="20" t="s">
        <v>678</v>
      </c>
      <c r="D29" s="21" t="s">
        <v>679</v>
      </c>
      <c r="E29" s="25">
        <v>3</v>
      </c>
      <c r="F29" s="18" t="s">
        <v>52</v>
      </c>
      <c r="G29" s="21"/>
      <c r="H29" s="21"/>
    </row>
    <row r="30" spans="1:8" ht="18" customHeight="1" x14ac:dyDescent="0.2">
      <c r="A30" s="13" t="s">
        <v>680</v>
      </c>
      <c r="B30" s="13" t="s">
        <v>681</v>
      </c>
      <c r="C30" s="13"/>
      <c r="D30" s="13"/>
      <c r="E30" s="13"/>
      <c r="F30" s="13"/>
      <c r="G30" s="13"/>
      <c r="H30" s="13"/>
    </row>
    <row r="31" spans="1:8" ht="30" customHeight="1" x14ac:dyDescent="0.2">
      <c r="A31" s="14" t="s">
        <v>680</v>
      </c>
      <c r="B31" s="14" t="s">
        <v>681</v>
      </c>
      <c r="C31" s="15" t="s">
        <v>682</v>
      </c>
      <c r="D31" s="16" t="s">
        <v>683</v>
      </c>
      <c r="E31" s="25">
        <v>3</v>
      </c>
      <c r="F31" s="18" t="s">
        <v>52</v>
      </c>
      <c r="G31" s="16"/>
      <c r="H31" s="16"/>
    </row>
    <row r="32" spans="1:8" ht="30" customHeight="1" x14ac:dyDescent="0.2">
      <c r="A32" s="19" t="s">
        <v>680</v>
      </c>
      <c r="B32" s="19" t="s">
        <v>681</v>
      </c>
      <c r="C32" s="20" t="s">
        <v>684</v>
      </c>
      <c r="D32" s="21" t="s">
        <v>685</v>
      </c>
      <c r="E32" s="25">
        <v>3</v>
      </c>
      <c r="F32" s="18" t="s">
        <v>52</v>
      </c>
      <c r="G32" s="21"/>
      <c r="H32" s="21"/>
    </row>
  </sheetData>
  <conditionalFormatting sqref="F2:F32">
    <cfRule type="cellIs" dxfId="20" priority="2" operator="equal">
      <formula>"Compliant"</formula>
    </cfRule>
    <cfRule type="cellIs" dxfId="19" priority="3" operator="equal">
      <formula>"In Progress"</formula>
    </cfRule>
    <cfRule type="cellIs" dxfId="18"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Normal="100" workbookViewId="0">
      <pane ySplit="1" topLeftCell="A3" activePane="bottomLeft" state="frozen"/>
      <selection pane="bottomLeft" activeCell="F12" sqref="F12:F1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686</v>
      </c>
      <c r="B2" s="13" t="s">
        <v>687</v>
      </c>
      <c r="C2" s="13"/>
      <c r="D2" s="13"/>
      <c r="E2" s="13"/>
      <c r="F2" s="13"/>
      <c r="G2" s="13"/>
      <c r="H2" s="13"/>
    </row>
    <row r="3" spans="1:8" ht="30" customHeight="1" x14ac:dyDescent="0.2">
      <c r="A3" s="14" t="s">
        <v>686</v>
      </c>
      <c r="B3" s="14" t="s">
        <v>687</v>
      </c>
      <c r="C3" s="15" t="s">
        <v>688</v>
      </c>
      <c r="D3" s="16" t="s">
        <v>689</v>
      </c>
      <c r="E3" s="22">
        <v>1</v>
      </c>
      <c r="F3" s="18" t="s">
        <v>156</v>
      </c>
      <c r="G3" s="23" t="s">
        <v>690</v>
      </c>
      <c r="H3" s="23" t="s">
        <v>691</v>
      </c>
    </row>
    <row r="4" spans="1:8" ht="30" customHeight="1" x14ac:dyDescent="0.2">
      <c r="A4" s="19" t="s">
        <v>686</v>
      </c>
      <c r="B4" s="19" t="s">
        <v>687</v>
      </c>
      <c r="C4" s="20" t="s">
        <v>692</v>
      </c>
      <c r="D4" s="21" t="s">
        <v>693</v>
      </c>
      <c r="E4" s="17">
        <v>2</v>
      </c>
      <c r="F4" s="18" t="s">
        <v>156</v>
      </c>
      <c r="G4" s="21"/>
      <c r="H4" s="21"/>
    </row>
    <row r="5" spans="1:8" ht="30" customHeight="1" x14ac:dyDescent="0.2">
      <c r="A5" s="14" t="s">
        <v>686</v>
      </c>
      <c r="B5" s="14" t="s">
        <v>687</v>
      </c>
      <c r="C5" s="15" t="s">
        <v>694</v>
      </c>
      <c r="D5" s="16" t="s">
        <v>695</v>
      </c>
      <c r="E5" s="17">
        <v>2</v>
      </c>
      <c r="F5" s="18" t="s">
        <v>156</v>
      </c>
      <c r="G5" s="16"/>
      <c r="H5" s="16"/>
    </row>
    <row r="6" spans="1:8" ht="30" customHeight="1" x14ac:dyDescent="0.2">
      <c r="A6" s="19" t="s">
        <v>686</v>
      </c>
      <c r="B6" s="19" t="s">
        <v>687</v>
      </c>
      <c r="C6" s="20" t="s">
        <v>696</v>
      </c>
      <c r="D6" s="21" t="s">
        <v>697</v>
      </c>
      <c r="E6" s="25">
        <v>3</v>
      </c>
      <c r="F6" s="18" t="s">
        <v>156</v>
      </c>
      <c r="G6" s="21"/>
      <c r="H6" s="21"/>
    </row>
    <row r="7" spans="1:8" ht="30" customHeight="1" x14ac:dyDescent="0.2">
      <c r="A7" s="14" t="s">
        <v>686</v>
      </c>
      <c r="B7" s="14" t="s">
        <v>687</v>
      </c>
      <c r="C7" s="15" t="s">
        <v>698</v>
      </c>
      <c r="D7" s="16" t="s">
        <v>699</v>
      </c>
      <c r="E7" s="25">
        <v>3</v>
      </c>
      <c r="F7" s="18" t="s">
        <v>156</v>
      </c>
      <c r="G7" s="16"/>
      <c r="H7" s="16"/>
    </row>
    <row r="8" spans="1:8" ht="18" customHeight="1" x14ac:dyDescent="0.2">
      <c r="A8" s="13" t="s">
        <v>700</v>
      </c>
      <c r="B8" s="13" t="s">
        <v>701</v>
      </c>
      <c r="C8" s="13"/>
      <c r="D8" s="13"/>
      <c r="E8" s="13"/>
      <c r="F8" s="13"/>
      <c r="G8" s="13"/>
      <c r="H8" s="13"/>
    </row>
    <row r="9" spans="1:8" ht="30" customHeight="1" x14ac:dyDescent="0.2">
      <c r="A9" s="14" t="s">
        <v>700</v>
      </c>
      <c r="B9" s="14" t="s">
        <v>701</v>
      </c>
      <c r="C9" s="15" t="s">
        <v>702</v>
      </c>
      <c r="D9" s="16" t="s">
        <v>703</v>
      </c>
      <c r="E9" s="22">
        <v>1</v>
      </c>
      <c r="F9" s="18" t="s">
        <v>45</v>
      </c>
      <c r="G9" s="23" t="s">
        <v>704</v>
      </c>
      <c r="H9" s="23" t="s">
        <v>705</v>
      </c>
    </row>
    <row r="10" spans="1:8" ht="30" customHeight="1" x14ac:dyDescent="0.2">
      <c r="A10" s="19" t="s">
        <v>700</v>
      </c>
      <c r="B10" s="19" t="s">
        <v>701</v>
      </c>
      <c r="C10" s="20" t="s">
        <v>706</v>
      </c>
      <c r="D10" s="21" t="s">
        <v>707</v>
      </c>
      <c r="E10" s="22">
        <v>1</v>
      </c>
      <c r="F10" s="18" t="s">
        <v>45</v>
      </c>
      <c r="G10" s="21"/>
      <c r="H10" s="21"/>
    </row>
    <row r="11" spans="1:8" ht="18" customHeight="1" x14ac:dyDescent="0.2">
      <c r="A11" s="13" t="s">
        <v>708</v>
      </c>
      <c r="B11" s="13" t="s">
        <v>709</v>
      </c>
      <c r="C11" s="13"/>
      <c r="D11" s="13"/>
      <c r="E11" s="13"/>
      <c r="F11" s="13"/>
      <c r="G11" s="13"/>
      <c r="H11" s="13"/>
    </row>
    <row r="12" spans="1:8" ht="30" customHeight="1" x14ac:dyDescent="0.2">
      <c r="A12" s="14" t="s">
        <v>708</v>
      </c>
      <c r="B12" s="14" t="s">
        <v>709</v>
      </c>
      <c r="C12" s="15" t="s">
        <v>710</v>
      </c>
      <c r="D12" s="16" t="s">
        <v>711</v>
      </c>
      <c r="E12" s="17">
        <v>2</v>
      </c>
      <c r="F12" s="18" t="s">
        <v>156</v>
      </c>
      <c r="G12" s="23" t="s">
        <v>712</v>
      </c>
      <c r="H12" s="23" t="s">
        <v>713</v>
      </c>
    </row>
    <row r="13" spans="1:8" ht="30" customHeight="1" x14ac:dyDescent="0.2">
      <c r="A13" s="19" t="s">
        <v>708</v>
      </c>
      <c r="B13" s="19" t="s">
        <v>709</v>
      </c>
      <c r="C13" s="20" t="s">
        <v>714</v>
      </c>
      <c r="D13" s="21" t="s">
        <v>715</v>
      </c>
      <c r="E13" s="17">
        <v>2</v>
      </c>
      <c r="F13" s="18" t="s">
        <v>156</v>
      </c>
      <c r="G13" s="21"/>
      <c r="H13" s="21"/>
    </row>
    <row r="14" spans="1:8" ht="30" customHeight="1" x14ac:dyDescent="0.2">
      <c r="A14" s="14" t="s">
        <v>708</v>
      </c>
      <c r="B14" s="14" t="s">
        <v>709</v>
      </c>
      <c r="C14" s="15" t="s">
        <v>716</v>
      </c>
      <c r="D14" s="16" t="s">
        <v>717</v>
      </c>
      <c r="E14" s="17">
        <v>2</v>
      </c>
      <c r="F14" s="18" t="s">
        <v>156</v>
      </c>
      <c r="G14" s="16"/>
      <c r="H14" s="16"/>
    </row>
    <row r="15" spans="1:8" ht="30" customHeight="1" x14ac:dyDescent="0.2">
      <c r="A15" s="19" t="s">
        <v>708</v>
      </c>
      <c r="B15" s="19" t="s">
        <v>709</v>
      </c>
      <c r="C15" s="20" t="s">
        <v>718</v>
      </c>
      <c r="D15" s="21" t="s">
        <v>719</v>
      </c>
      <c r="E15" s="17">
        <v>2</v>
      </c>
      <c r="F15" s="18" t="s">
        <v>156</v>
      </c>
      <c r="G15" s="21"/>
      <c r="H15" s="21"/>
    </row>
    <row r="16" spans="1:8" ht="30" customHeight="1" x14ac:dyDescent="0.2">
      <c r="A16" s="14" t="s">
        <v>708</v>
      </c>
      <c r="B16" s="14" t="s">
        <v>709</v>
      </c>
      <c r="C16" s="15" t="s">
        <v>720</v>
      </c>
      <c r="D16" s="16" t="s">
        <v>721</v>
      </c>
      <c r="E16" s="25">
        <v>3</v>
      </c>
      <c r="F16" s="18" t="s">
        <v>156</v>
      </c>
      <c r="G16" s="16"/>
      <c r="H16" s="16"/>
    </row>
  </sheetData>
  <conditionalFormatting sqref="F2:F16">
    <cfRule type="cellIs" dxfId="17" priority="2" operator="equal">
      <formula>"Compliant"</formula>
    </cfRule>
    <cfRule type="cellIs" dxfId="16" priority="3" operator="equal">
      <formula>"In Progress"</formula>
    </cfRule>
    <cfRule type="cellIs" dxfId="15"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tabSelected="1" zoomScale="110" zoomScaleNormal="110" workbookViewId="0">
      <pane ySplit="1" topLeftCell="A13" activePane="bottomLeft" state="frozen"/>
      <selection pane="bottomLeft" activeCell="G21" sqref="G21"/>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722</v>
      </c>
      <c r="B2" s="13" t="s">
        <v>723</v>
      </c>
      <c r="C2" s="13"/>
      <c r="D2" s="13"/>
      <c r="E2" s="13"/>
      <c r="F2" s="13"/>
      <c r="G2" s="13"/>
      <c r="H2" s="13"/>
    </row>
    <row r="3" spans="1:8" ht="30" customHeight="1" x14ac:dyDescent="0.2">
      <c r="A3" s="14" t="s">
        <v>722</v>
      </c>
      <c r="B3" s="14" t="s">
        <v>723</v>
      </c>
      <c r="C3" s="15" t="s">
        <v>724</v>
      </c>
      <c r="D3" s="16" t="s">
        <v>725</v>
      </c>
      <c r="E3" s="17">
        <v>2</v>
      </c>
      <c r="F3" s="18" t="s">
        <v>156</v>
      </c>
      <c r="G3" s="16"/>
      <c r="H3" s="16"/>
    </row>
    <row r="4" spans="1:8" ht="30" customHeight="1" x14ac:dyDescent="0.2">
      <c r="A4" s="19" t="s">
        <v>722</v>
      </c>
      <c r="B4" s="19" t="s">
        <v>723</v>
      </c>
      <c r="C4" s="20" t="s">
        <v>726</v>
      </c>
      <c r="D4" s="21" t="s">
        <v>727</v>
      </c>
      <c r="E4" s="25">
        <v>3</v>
      </c>
      <c r="F4" s="18" t="s">
        <v>156</v>
      </c>
      <c r="G4" s="24" t="s">
        <v>728</v>
      </c>
      <c r="H4" s="24" t="s">
        <v>729</v>
      </c>
    </row>
    <row r="5" spans="1:8" ht="30" customHeight="1" x14ac:dyDescent="0.2">
      <c r="A5" s="14" t="s">
        <v>722</v>
      </c>
      <c r="B5" s="14" t="s">
        <v>723</v>
      </c>
      <c r="C5" s="15" t="s">
        <v>730</v>
      </c>
      <c r="D5" s="16" t="s">
        <v>731</v>
      </c>
      <c r="E5" s="25">
        <v>3</v>
      </c>
      <c r="F5" s="18" t="s">
        <v>156</v>
      </c>
      <c r="G5" s="16"/>
      <c r="H5" s="16"/>
    </row>
    <row r="6" spans="1:8" ht="30" customHeight="1" x14ac:dyDescent="0.2">
      <c r="A6" s="19" t="s">
        <v>722</v>
      </c>
      <c r="B6" s="19" t="s">
        <v>723</v>
      </c>
      <c r="C6" s="20" t="s">
        <v>732</v>
      </c>
      <c r="D6" s="21" t="s">
        <v>733</v>
      </c>
      <c r="E6" s="25">
        <v>3</v>
      </c>
      <c r="F6" s="18" t="s">
        <v>156</v>
      </c>
      <c r="G6" s="21"/>
      <c r="H6" s="21"/>
    </row>
    <row r="7" spans="1:8" ht="18" customHeight="1" x14ac:dyDescent="0.2">
      <c r="A7" s="13" t="s">
        <v>734</v>
      </c>
      <c r="B7" s="13" t="s">
        <v>735</v>
      </c>
      <c r="C7" s="13"/>
      <c r="D7" s="13"/>
      <c r="E7" s="13"/>
      <c r="F7" s="13"/>
      <c r="G7" s="13"/>
      <c r="H7" s="13"/>
    </row>
    <row r="8" spans="1:8" ht="30" customHeight="1" x14ac:dyDescent="0.2">
      <c r="A8" s="14" t="s">
        <v>734</v>
      </c>
      <c r="B8" s="14" t="s">
        <v>735</v>
      </c>
      <c r="C8" s="15" t="s">
        <v>736</v>
      </c>
      <c r="D8" s="16" t="s">
        <v>737</v>
      </c>
      <c r="E8" s="17">
        <v>2</v>
      </c>
      <c r="F8" s="18" t="s">
        <v>156</v>
      </c>
      <c r="G8" s="16"/>
      <c r="H8" s="16"/>
    </row>
    <row r="9" spans="1:8" ht="30" customHeight="1" x14ac:dyDescent="0.2">
      <c r="A9" s="19" t="s">
        <v>734</v>
      </c>
      <c r="B9" s="19" t="s">
        <v>735</v>
      </c>
      <c r="C9" s="20" t="s">
        <v>738</v>
      </c>
      <c r="D9" s="21" t="s">
        <v>739</v>
      </c>
      <c r="E9" s="17">
        <v>2</v>
      </c>
      <c r="F9" s="18" t="s">
        <v>156</v>
      </c>
      <c r="G9" s="21"/>
      <c r="H9" s="21"/>
    </row>
    <row r="10" spans="1:8" ht="30" customHeight="1" x14ac:dyDescent="0.2">
      <c r="A10" s="14" t="s">
        <v>734</v>
      </c>
      <c r="B10" s="14" t="s">
        <v>735</v>
      </c>
      <c r="C10" s="15" t="s">
        <v>740</v>
      </c>
      <c r="D10" s="16" t="s">
        <v>741</v>
      </c>
      <c r="E10" s="17">
        <v>2</v>
      </c>
      <c r="F10" s="18" t="s">
        <v>156</v>
      </c>
      <c r="G10" s="16"/>
      <c r="H10" s="16"/>
    </row>
    <row r="11" spans="1:8" ht="30" customHeight="1" x14ac:dyDescent="0.2">
      <c r="A11" s="19" t="s">
        <v>734</v>
      </c>
      <c r="B11" s="19" t="s">
        <v>735</v>
      </c>
      <c r="C11" s="20" t="s">
        <v>742</v>
      </c>
      <c r="D11" s="21" t="s">
        <v>743</v>
      </c>
      <c r="E11" s="17">
        <v>2</v>
      </c>
      <c r="F11" s="18" t="s">
        <v>156</v>
      </c>
      <c r="G11" s="21"/>
      <c r="H11" s="21"/>
    </row>
    <row r="12" spans="1:8" ht="30" customHeight="1" x14ac:dyDescent="0.2">
      <c r="A12" s="14" t="s">
        <v>734</v>
      </c>
      <c r="B12" s="14" t="s">
        <v>735</v>
      </c>
      <c r="C12" s="15" t="s">
        <v>744</v>
      </c>
      <c r="D12" s="16" t="s">
        <v>745</v>
      </c>
      <c r="E12" s="17">
        <v>2</v>
      </c>
      <c r="F12" s="18" t="s">
        <v>156</v>
      </c>
      <c r="G12" s="16"/>
      <c r="H12" s="16"/>
    </row>
    <row r="13" spans="1:8" ht="30" customHeight="1" x14ac:dyDescent="0.2">
      <c r="A13" s="19" t="s">
        <v>734</v>
      </c>
      <c r="B13" s="19" t="s">
        <v>735</v>
      </c>
      <c r="C13" s="20" t="s">
        <v>746</v>
      </c>
      <c r="D13" s="21" t="s">
        <v>747</v>
      </c>
      <c r="E13" s="25">
        <v>3</v>
      </c>
      <c r="F13" s="18" t="s">
        <v>156</v>
      </c>
      <c r="G13" s="21"/>
      <c r="H13" s="21"/>
    </row>
    <row r="14" spans="1:8" ht="18" customHeight="1" x14ac:dyDescent="0.2">
      <c r="A14" s="13" t="s">
        <v>748</v>
      </c>
      <c r="B14" s="13" t="s">
        <v>749</v>
      </c>
      <c r="C14" s="13"/>
      <c r="D14" s="13"/>
      <c r="E14" s="13"/>
      <c r="F14" s="13"/>
      <c r="G14" s="13"/>
      <c r="H14" s="13"/>
    </row>
    <row r="15" spans="1:8" ht="30" customHeight="1" x14ac:dyDescent="0.2">
      <c r="A15" s="14" t="s">
        <v>748</v>
      </c>
      <c r="B15" s="14" t="s">
        <v>749</v>
      </c>
      <c r="C15" s="15" t="s">
        <v>750</v>
      </c>
      <c r="D15" s="16" t="s">
        <v>751</v>
      </c>
      <c r="E15" s="17">
        <v>2</v>
      </c>
      <c r="F15" s="18" t="s">
        <v>45</v>
      </c>
      <c r="G15" s="16"/>
      <c r="H15" s="16"/>
    </row>
    <row r="16" spans="1:8" ht="30" customHeight="1" x14ac:dyDescent="0.2">
      <c r="A16" s="19" t="s">
        <v>748</v>
      </c>
      <c r="B16" s="19" t="s">
        <v>749</v>
      </c>
      <c r="C16" s="20" t="s">
        <v>752</v>
      </c>
      <c r="D16" s="21" t="s">
        <v>753</v>
      </c>
      <c r="E16" s="17">
        <v>2</v>
      </c>
      <c r="F16" s="18" t="s">
        <v>156</v>
      </c>
      <c r="G16" s="21"/>
      <c r="H16" s="21"/>
    </row>
    <row r="17" spans="1:8" ht="30" customHeight="1" x14ac:dyDescent="0.2">
      <c r="A17" s="14" t="s">
        <v>748</v>
      </c>
      <c r="B17" s="14" t="s">
        <v>749</v>
      </c>
      <c r="C17" s="15" t="s">
        <v>754</v>
      </c>
      <c r="D17" s="16" t="s">
        <v>755</v>
      </c>
      <c r="E17" s="25">
        <v>3</v>
      </c>
      <c r="F17" s="18" t="s">
        <v>156</v>
      </c>
      <c r="G17" s="16"/>
      <c r="H17" s="16"/>
    </row>
    <row r="18" spans="1:8" ht="30" customHeight="1" x14ac:dyDescent="0.2">
      <c r="A18" s="19" t="s">
        <v>748</v>
      </c>
      <c r="B18" s="19" t="s">
        <v>749</v>
      </c>
      <c r="C18" s="20" t="s">
        <v>756</v>
      </c>
      <c r="D18" s="21" t="s">
        <v>757</v>
      </c>
      <c r="E18" s="25">
        <v>3</v>
      </c>
      <c r="F18" s="18" t="s">
        <v>156</v>
      </c>
      <c r="G18" s="21"/>
      <c r="H18" s="21"/>
    </row>
    <row r="19" spans="1:8" ht="18" customHeight="1" x14ac:dyDescent="0.2">
      <c r="A19" s="13" t="s">
        <v>758</v>
      </c>
      <c r="B19" s="13" t="s">
        <v>759</v>
      </c>
      <c r="C19" s="13"/>
      <c r="D19" s="13"/>
      <c r="E19" s="13"/>
      <c r="F19" s="13"/>
      <c r="G19" s="13"/>
      <c r="H19" s="13"/>
    </row>
    <row r="20" spans="1:8" ht="30" customHeight="1" x14ac:dyDescent="0.2">
      <c r="A20" s="14" t="s">
        <v>758</v>
      </c>
      <c r="B20" s="14" t="s">
        <v>759</v>
      </c>
      <c r="C20" s="15" t="s">
        <v>760</v>
      </c>
      <c r="D20" s="16" t="s">
        <v>761</v>
      </c>
      <c r="E20" s="22">
        <v>1</v>
      </c>
      <c r="F20" s="18" t="s">
        <v>45</v>
      </c>
      <c r="G20" s="16"/>
      <c r="H20" s="16"/>
    </row>
    <row r="21" spans="1:8" ht="30" customHeight="1" x14ac:dyDescent="0.2">
      <c r="A21" s="19" t="s">
        <v>758</v>
      </c>
      <c r="B21" s="19" t="s">
        <v>759</v>
      </c>
      <c r="C21" s="20" t="s">
        <v>762</v>
      </c>
      <c r="D21" s="21" t="s">
        <v>763</v>
      </c>
      <c r="E21" s="17">
        <v>2</v>
      </c>
      <c r="F21" s="18" t="s">
        <v>45</v>
      </c>
      <c r="G21" s="21"/>
      <c r="H21" s="21"/>
    </row>
    <row r="22" spans="1:8" ht="30" customHeight="1" x14ac:dyDescent="0.2">
      <c r="A22" s="14" t="s">
        <v>758</v>
      </c>
      <c r="B22" s="14" t="s">
        <v>759</v>
      </c>
      <c r="C22" s="15" t="s">
        <v>764</v>
      </c>
      <c r="D22" s="16" t="s">
        <v>765</v>
      </c>
      <c r="E22" s="17">
        <v>2</v>
      </c>
      <c r="F22" s="18" t="s">
        <v>45</v>
      </c>
      <c r="G22" s="16"/>
      <c r="H22" s="16"/>
    </row>
    <row r="23" spans="1:8" ht="30" customHeight="1" x14ac:dyDescent="0.2">
      <c r="A23" s="19" t="s">
        <v>758</v>
      </c>
      <c r="B23" s="19" t="s">
        <v>759</v>
      </c>
      <c r="C23" s="20" t="s">
        <v>766</v>
      </c>
      <c r="D23" s="21" t="s">
        <v>767</v>
      </c>
      <c r="E23" s="17">
        <v>2</v>
      </c>
      <c r="F23" s="18" t="s">
        <v>45</v>
      </c>
      <c r="G23" s="21"/>
      <c r="H23" s="21"/>
    </row>
    <row r="24" spans="1:8" ht="30" customHeight="1" x14ac:dyDescent="0.2">
      <c r="A24" s="14" t="s">
        <v>758</v>
      </c>
      <c r="B24" s="14" t="s">
        <v>759</v>
      </c>
      <c r="C24" s="15" t="s">
        <v>768</v>
      </c>
      <c r="D24" s="16" t="s">
        <v>769</v>
      </c>
      <c r="E24" s="17">
        <v>2</v>
      </c>
      <c r="F24" s="18" t="s">
        <v>45</v>
      </c>
      <c r="G24" s="16"/>
      <c r="H24" s="16"/>
    </row>
    <row r="25" spans="1:8" ht="30" customHeight="1" x14ac:dyDescent="0.2">
      <c r="A25" s="19" t="s">
        <v>758</v>
      </c>
      <c r="B25" s="19" t="s">
        <v>759</v>
      </c>
      <c r="C25" s="20" t="s">
        <v>770</v>
      </c>
      <c r="D25" s="21" t="s">
        <v>771</v>
      </c>
      <c r="E25" s="25">
        <v>3</v>
      </c>
      <c r="F25" s="18" t="s">
        <v>45</v>
      </c>
      <c r="G25" s="21"/>
      <c r="H25" s="21"/>
    </row>
    <row r="26" spans="1:8" ht="30" customHeight="1" x14ac:dyDescent="0.2">
      <c r="A26" s="14" t="s">
        <v>758</v>
      </c>
      <c r="B26" s="14" t="s">
        <v>759</v>
      </c>
      <c r="C26" s="15" t="s">
        <v>772</v>
      </c>
      <c r="D26" s="16" t="s">
        <v>773</v>
      </c>
      <c r="E26" s="25">
        <v>3</v>
      </c>
      <c r="F26" s="18" t="s">
        <v>156</v>
      </c>
      <c r="G26" s="16"/>
      <c r="H26" s="16"/>
    </row>
  </sheetData>
  <conditionalFormatting sqref="F2:F26">
    <cfRule type="cellIs" dxfId="14" priority="2" operator="equal">
      <formula>"Compliant"</formula>
    </cfRule>
    <cfRule type="cellIs" dxfId="13" priority="3" operator="equal">
      <formula>"In Progress"</formula>
    </cfRule>
    <cfRule type="cellIs" dxfId="12"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114" zoomScaleNormal="114" workbookViewId="0">
      <pane ySplit="1" topLeftCell="A4" activePane="bottomLeft" state="frozen"/>
      <selection pane="bottomLeft" activeCell="F15" sqref="F15:F1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774</v>
      </c>
      <c r="B2" s="13" t="s">
        <v>775</v>
      </c>
      <c r="C2" s="13"/>
      <c r="D2" s="13"/>
      <c r="E2" s="13"/>
      <c r="F2" s="13"/>
      <c r="G2" s="13"/>
      <c r="H2" s="13"/>
    </row>
    <row r="3" spans="1:8" ht="30" customHeight="1" x14ac:dyDescent="0.2">
      <c r="A3" s="14" t="s">
        <v>774</v>
      </c>
      <c r="B3" s="14" t="s">
        <v>775</v>
      </c>
      <c r="C3" s="15" t="s">
        <v>776</v>
      </c>
      <c r="D3" s="16" t="s">
        <v>777</v>
      </c>
      <c r="E3" s="17">
        <v>2</v>
      </c>
      <c r="F3" s="18" t="s">
        <v>45</v>
      </c>
      <c r="G3" s="23" t="s">
        <v>778</v>
      </c>
      <c r="H3" s="23" t="s">
        <v>779</v>
      </c>
    </row>
    <row r="4" spans="1:8" ht="30" customHeight="1" x14ac:dyDescent="0.2">
      <c r="A4" s="19" t="s">
        <v>774</v>
      </c>
      <c r="B4" s="19" t="s">
        <v>775</v>
      </c>
      <c r="C4" s="20" t="s">
        <v>780</v>
      </c>
      <c r="D4" s="21" t="s">
        <v>781</v>
      </c>
      <c r="E4" s="17">
        <v>2</v>
      </c>
      <c r="F4" s="18" t="s">
        <v>45</v>
      </c>
      <c r="G4" s="21"/>
      <c r="H4" s="21"/>
    </row>
    <row r="5" spans="1:8" ht="18" customHeight="1" x14ac:dyDescent="0.2">
      <c r="A5" s="13" t="s">
        <v>782</v>
      </c>
      <c r="B5" s="13" t="s">
        <v>783</v>
      </c>
      <c r="C5" s="13"/>
      <c r="D5" s="13"/>
      <c r="E5" s="13"/>
      <c r="F5" s="13"/>
      <c r="G5" s="13"/>
      <c r="H5" s="13"/>
    </row>
    <row r="6" spans="1:8" ht="30" customHeight="1" x14ac:dyDescent="0.2">
      <c r="A6" s="14" t="s">
        <v>782</v>
      </c>
      <c r="B6" s="14" t="s">
        <v>783</v>
      </c>
      <c r="C6" s="15" t="s">
        <v>784</v>
      </c>
      <c r="D6" s="16" t="s">
        <v>785</v>
      </c>
      <c r="E6" s="22">
        <v>1</v>
      </c>
      <c r="F6" s="18" t="s">
        <v>156</v>
      </c>
      <c r="G6" s="16"/>
      <c r="H6" s="16"/>
    </row>
    <row r="7" spans="1:8" ht="30" customHeight="1" x14ac:dyDescent="0.2">
      <c r="A7" s="19" t="s">
        <v>782</v>
      </c>
      <c r="B7" s="19" t="s">
        <v>783</v>
      </c>
      <c r="C7" s="20" t="s">
        <v>786</v>
      </c>
      <c r="D7" s="21" t="s">
        <v>787</v>
      </c>
      <c r="E7" s="17">
        <v>2</v>
      </c>
      <c r="F7" s="18" t="s">
        <v>156</v>
      </c>
      <c r="G7" s="21"/>
      <c r="H7" s="21"/>
    </row>
    <row r="8" spans="1:8" ht="30" customHeight="1" x14ac:dyDescent="0.2">
      <c r="A8" s="14" t="s">
        <v>782</v>
      </c>
      <c r="B8" s="14" t="s">
        <v>783</v>
      </c>
      <c r="C8" s="15" t="s">
        <v>788</v>
      </c>
      <c r="D8" s="16" t="s">
        <v>789</v>
      </c>
      <c r="E8" s="17">
        <v>2</v>
      </c>
      <c r="F8" s="18" t="s">
        <v>45</v>
      </c>
      <c r="G8" s="16"/>
      <c r="H8" s="16"/>
    </row>
    <row r="9" spans="1:8" ht="30" customHeight="1" x14ac:dyDescent="0.2">
      <c r="A9" s="19" t="s">
        <v>782</v>
      </c>
      <c r="B9" s="19" t="s">
        <v>783</v>
      </c>
      <c r="C9" s="20" t="s">
        <v>790</v>
      </c>
      <c r="D9" s="21" t="s">
        <v>791</v>
      </c>
      <c r="E9" s="17">
        <v>2</v>
      </c>
      <c r="F9" s="18" t="s">
        <v>156</v>
      </c>
      <c r="G9" s="24"/>
      <c r="H9" s="24"/>
    </row>
    <row r="10" spans="1:8" ht="30" customHeight="1" x14ac:dyDescent="0.2">
      <c r="A10" s="14" t="s">
        <v>782</v>
      </c>
      <c r="B10" s="14" t="s">
        <v>783</v>
      </c>
      <c r="C10" s="15" t="s">
        <v>792</v>
      </c>
      <c r="D10" s="16" t="s">
        <v>793</v>
      </c>
      <c r="E10" s="25">
        <v>3</v>
      </c>
      <c r="F10" s="18" t="s">
        <v>156</v>
      </c>
      <c r="G10" s="16"/>
      <c r="H10" s="16"/>
    </row>
    <row r="11" spans="1:8" ht="30" customHeight="1" x14ac:dyDescent="0.2">
      <c r="A11" s="19" t="s">
        <v>782</v>
      </c>
      <c r="B11" s="19" t="s">
        <v>783</v>
      </c>
      <c r="C11" s="20" t="s">
        <v>794</v>
      </c>
      <c r="D11" s="21" t="s">
        <v>795</v>
      </c>
      <c r="E11" s="25">
        <v>3</v>
      </c>
      <c r="F11" s="18" t="s">
        <v>156</v>
      </c>
      <c r="G11" s="21"/>
      <c r="H11" s="21"/>
    </row>
    <row r="12" spans="1:8" ht="30" customHeight="1" x14ac:dyDescent="0.2">
      <c r="A12" s="14" t="s">
        <v>782</v>
      </c>
      <c r="B12" s="14" t="s">
        <v>783</v>
      </c>
      <c r="C12" s="15" t="s">
        <v>796</v>
      </c>
      <c r="D12" s="16" t="s">
        <v>797</v>
      </c>
      <c r="E12" s="25">
        <v>3</v>
      </c>
      <c r="F12" s="18" t="s">
        <v>156</v>
      </c>
      <c r="G12" s="16"/>
      <c r="H12" s="16"/>
    </row>
    <row r="13" spans="1:8" ht="30" customHeight="1" x14ac:dyDescent="0.2">
      <c r="A13" s="19" t="s">
        <v>782</v>
      </c>
      <c r="B13" s="19" t="s">
        <v>783</v>
      </c>
      <c r="C13" s="20" t="s">
        <v>798</v>
      </c>
      <c r="D13" s="21" t="s">
        <v>799</v>
      </c>
      <c r="E13" s="25">
        <v>3</v>
      </c>
      <c r="F13" s="18" t="s">
        <v>156</v>
      </c>
      <c r="G13" s="21"/>
      <c r="H13" s="21"/>
    </row>
    <row r="14" spans="1:8" ht="18" customHeight="1" x14ac:dyDescent="0.2">
      <c r="A14" s="13" t="s">
        <v>800</v>
      </c>
      <c r="B14" s="13" t="s">
        <v>801</v>
      </c>
      <c r="C14" s="13"/>
      <c r="D14" s="13"/>
      <c r="E14" s="13"/>
      <c r="F14" s="13"/>
      <c r="G14" s="13"/>
      <c r="H14" s="13"/>
    </row>
    <row r="15" spans="1:8" ht="30" customHeight="1" x14ac:dyDescent="0.2">
      <c r="A15" s="14" t="s">
        <v>800</v>
      </c>
      <c r="B15" s="14" t="s">
        <v>801</v>
      </c>
      <c r="C15" s="15" t="s">
        <v>802</v>
      </c>
      <c r="D15" s="16" t="s">
        <v>803</v>
      </c>
      <c r="E15" s="22">
        <v>1</v>
      </c>
      <c r="F15" s="18" t="s">
        <v>156</v>
      </c>
      <c r="G15" s="23" t="s">
        <v>804</v>
      </c>
      <c r="H15" s="23" t="s">
        <v>805</v>
      </c>
    </row>
    <row r="16" spans="1:8" ht="30" customHeight="1" x14ac:dyDescent="0.2">
      <c r="A16" s="19" t="s">
        <v>800</v>
      </c>
      <c r="B16" s="19" t="s">
        <v>801</v>
      </c>
      <c r="C16" s="20" t="s">
        <v>806</v>
      </c>
      <c r="D16" s="21" t="s">
        <v>807</v>
      </c>
      <c r="E16" s="17">
        <v>2</v>
      </c>
      <c r="F16" s="18" t="s">
        <v>156</v>
      </c>
      <c r="G16" s="24" t="s">
        <v>808</v>
      </c>
      <c r="H16" s="24" t="s">
        <v>809</v>
      </c>
    </row>
    <row r="17" spans="1:8" ht="30" customHeight="1" x14ac:dyDescent="0.2">
      <c r="A17" s="14" t="s">
        <v>800</v>
      </c>
      <c r="B17" s="14" t="s">
        <v>801</v>
      </c>
      <c r="C17" s="15" t="s">
        <v>810</v>
      </c>
      <c r="D17" s="16" t="s">
        <v>811</v>
      </c>
      <c r="E17" s="17">
        <v>2</v>
      </c>
      <c r="F17" s="18" t="s">
        <v>156</v>
      </c>
      <c r="G17" s="16"/>
      <c r="H17" s="16"/>
    </row>
  </sheetData>
  <conditionalFormatting sqref="F2:F17">
    <cfRule type="cellIs" dxfId="11" priority="2" operator="equal">
      <formula>"Compliant"</formula>
    </cfRule>
    <cfRule type="cellIs" dxfId="10" priority="3" operator="equal">
      <formula>"In Progress"</formula>
    </cfRule>
    <cfRule type="cellIs" dxfId="9"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Normal="100" workbookViewId="0">
      <pane ySplit="1" topLeftCell="A2" activePane="bottomLeft" state="frozen"/>
      <selection pane="bottomLeft" activeCell="G25" sqref="G2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812</v>
      </c>
      <c r="B2" s="13" t="s">
        <v>813</v>
      </c>
      <c r="C2" s="13"/>
      <c r="D2" s="13"/>
      <c r="E2" s="13"/>
      <c r="F2" s="13"/>
      <c r="G2" s="13"/>
      <c r="H2" s="13"/>
    </row>
    <row r="3" spans="1:8" ht="30" customHeight="1" x14ac:dyDescent="0.2">
      <c r="A3" s="14" t="s">
        <v>812</v>
      </c>
      <c r="B3" s="14" t="s">
        <v>813</v>
      </c>
      <c r="C3" s="15" t="s">
        <v>814</v>
      </c>
      <c r="D3" s="16" t="s">
        <v>815</v>
      </c>
      <c r="E3" s="22">
        <v>1</v>
      </c>
      <c r="F3" s="18" t="s">
        <v>156</v>
      </c>
      <c r="G3" s="16"/>
      <c r="H3" s="16"/>
    </row>
    <row r="4" spans="1:8" ht="30" customHeight="1" x14ac:dyDescent="0.2">
      <c r="A4" s="19" t="s">
        <v>812</v>
      </c>
      <c r="B4" s="19" t="s">
        <v>813</v>
      </c>
      <c r="C4" s="20" t="s">
        <v>816</v>
      </c>
      <c r="D4" s="21" t="s">
        <v>817</v>
      </c>
      <c r="E4" s="17">
        <v>2</v>
      </c>
      <c r="F4" s="18" t="s">
        <v>45</v>
      </c>
      <c r="G4" s="21"/>
      <c r="H4" s="21"/>
    </row>
    <row r="5" spans="1:8" ht="30" customHeight="1" x14ac:dyDescent="0.2">
      <c r="A5" s="14" t="s">
        <v>812</v>
      </c>
      <c r="B5" s="14" t="s">
        <v>813</v>
      </c>
      <c r="C5" s="15" t="s">
        <v>818</v>
      </c>
      <c r="D5" s="16" t="s">
        <v>819</v>
      </c>
      <c r="E5" s="17">
        <v>2</v>
      </c>
      <c r="F5" s="18" t="s">
        <v>156</v>
      </c>
      <c r="G5" s="16"/>
      <c r="H5" s="16"/>
    </row>
    <row r="6" spans="1:8" ht="30" customHeight="1" x14ac:dyDescent="0.2">
      <c r="A6" s="19" t="s">
        <v>812</v>
      </c>
      <c r="B6" s="19" t="s">
        <v>813</v>
      </c>
      <c r="C6" s="20" t="s">
        <v>820</v>
      </c>
      <c r="D6" s="21" t="s">
        <v>821</v>
      </c>
      <c r="E6" s="25">
        <v>3</v>
      </c>
      <c r="F6" s="18" t="s">
        <v>45</v>
      </c>
      <c r="G6" s="21"/>
      <c r="H6" s="21"/>
    </row>
    <row r="7" spans="1:8" ht="30" customHeight="1" x14ac:dyDescent="0.2">
      <c r="A7" s="14" t="s">
        <v>812</v>
      </c>
      <c r="B7" s="14" t="s">
        <v>813</v>
      </c>
      <c r="C7" s="15" t="s">
        <v>822</v>
      </c>
      <c r="D7" s="16" t="s">
        <v>823</v>
      </c>
      <c r="E7" s="25">
        <v>3</v>
      </c>
      <c r="F7" s="18" t="s">
        <v>45</v>
      </c>
      <c r="G7" s="16"/>
      <c r="H7" s="16"/>
    </row>
    <row r="8" spans="1:8" ht="18" customHeight="1" x14ac:dyDescent="0.2">
      <c r="A8" s="13" t="s">
        <v>824</v>
      </c>
      <c r="B8" s="13" t="s">
        <v>825</v>
      </c>
      <c r="C8" s="13"/>
      <c r="D8" s="13"/>
      <c r="E8" s="13"/>
      <c r="F8" s="13"/>
      <c r="G8" s="13"/>
      <c r="H8" s="13"/>
    </row>
    <row r="9" spans="1:8" ht="30" customHeight="1" x14ac:dyDescent="0.2">
      <c r="A9" s="14" t="s">
        <v>824</v>
      </c>
      <c r="B9" s="14" t="s">
        <v>825</v>
      </c>
      <c r="C9" s="15" t="s">
        <v>826</v>
      </c>
      <c r="D9" s="16" t="s">
        <v>827</v>
      </c>
      <c r="E9" s="22">
        <v>1</v>
      </c>
      <c r="F9" s="18" t="s">
        <v>156</v>
      </c>
      <c r="G9" s="16"/>
      <c r="H9" s="16"/>
    </row>
    <row r="10" spans="1:8" ht="30" customHeight="1" x14ac:dyDescent="0.2">
      <c r="A10" s="19" t="s">
        <v>824</v>
      </c>
      <c r="B10" s="19" t="s">
        <v>825</v>
      </c>
      <c r="C10" s="20" t="s">
        <v>828</v>
      </c>
      <c r="D10" s="21" t="s">
        <v>829</v>
      </c>
      <c r="E10" s="17">
        <v>2</v>
      </c>
      <c r="F10" s="18" t="s">
        <v>45</v>
      </c>
      <c r="G10" s="21"/>
      <c r="H10" s="21"/>
    </row>
    <row r="11" spans="1:8" ht="30" customHeight="1" x14ac:dyDescent="0.2">
      <c r="A11" s="14" t="s">
        <v>824</v>
      </c>
      <c r="B11" s="14" t="s">
        <v>825</v>
      </c>
      <c r="C11" s="15" t="s">
        <v>830</v>
      </c>
      <c r="D11" s="16" t="s">
        <v>831</v>
      </c>
      <c r="E11" s="17">
        <v>2</v>
      </c>
      <c r="F11" s="18" t="s">
        <v>156</v>
      </c>
      <c r="G11" s="16"/>
      <c r="H11" s="16"/>
    </row>
    <row r="12" spans="1:8" ht="30" customHeight="1" x14ac:dyDescent="0.2">
      <c r="A12" s="19" t="s">
        <v>824</v>
      </c>
      <c r="B12" s="19" t="s">
        <v>825</v>
      </c>
      <c r="C12" s="20" t="s">
        <v>832</v>
      </c>
      <c r="D12" s="21" t="s">
        <v>833</v>
      </c>
      <c r="E12" s="25">
        <v>3</v>
      </c>
      <c r="F12" s="18" t="s">
        <v>45</v>
      </c>
      <c r="G12" s="21"/>
      <c r="H12" s="21"/>
    </row>
    <row r="13" spans="1:8" ht="30" customHeight="1" x14ac:dyDescent="0.2">
      <c r="A13" s="14" t="s">
        <v>824</v>
      </c>
      <c r="B13" s="14" t="s">
        <v>825</v>
      </c>
      <c r="C13" s="15" t="s">
        <v>834</v>
      </c>
      <c r="D13" s="16" t="s">
        <v>835</v>
      </c>
      <c r="E13" s="25">
        <v>3</v>
      </c>
      <c r="F13" s="18" t="s">
        <v>156</v>
      </c>
      <c r="G13" s="16"/>
      <c r="H13" s="16"/>
    </row>
    <row r="14" spans="1:8" ht="18" customHeight="1" x14ac:dyDescent="0.2">
      <c r="A14" s="13" t="s">
        <v>836</v>
      </c>
      <c r="B14" s="13" t="s">
        <v>837</v>
      </c>
      <c r="C14" s="13"/>
      <c r="D14" s="13"/>
      <c r="E14" s="13"/>
      <c r="F14" s="13"/>
      <c r="G14" s="13"/>
      <c r="H14" s="13"/>
    </row>
    <row r="15" spans="1:8" ht="30" customHeight="1" x14ac:dyDescent="0.2">
      <c r="A15" s="14" t="s">
        <v>836</v>
      </c>
      <c r="B15" s="14" t="s">
        <v>837</v>
      </c>
      <c r="C15" s="15" t="s">
        <v>838</v>
      </c>
      <c r="D15" s="16" t="s">
        <v>839</v>
      </c>
      <c r="E15" s="22">
        <v>1</v>
      </c>
      <c r="F15" s="18" t="s">
        <v>45</v>
      </c>
      <c r="G15" s="16"/>
      <c r="H15" s="16"/>
    </row>
    <row r="16" spans="1:8" ht="30" customHeight="1" x14ac:dyDescent="0.2">
      <c r="A16" s="19" t="s">
        <v>836</v>
      </c>
      <c r="B16" s="19" t="s">
        <v>837</v>
      </c>
      <c r="C16" s="20" t="s">
        <v>840</v>
      </c>
      <c r="D16" s="21" t="s">
        <v>841</v>
      </c>
      <c r="E16" s="17">
        <v>2</v>
      </c>
      <c r="F16" s="18" t="s">
        <v>156</v>
      </c>
      <c r="G16" s="21"/>
      <c r="H16" s="21"/>
    </row>
    <row r="17" spans="1:8" ht="30" customHeight="1" x14ac:dyDescent="0.2">
      <c r="A17" s="14" t="s">
        <v>836</v>
      </c>
      <c r="B17" s="14" t="s">
        <v>837</v>
      </c>
      <c r="C17" s="15" t="s">
        <v>842</v>
      </c>
      <c r="D17" s="16" t="s">
        <v>843</v>
      </c>
      <c r="E17" s="17">
        <v>2</v>
      </c>
      <c r="F17" s="18" t="s">
        <v>45</v>
      </c>
      <c r="G17" s="16"/>
      <c r="H17" s="16"/>
    </row>
    <row r="18" spans="1:8" ht="30" customHeight="1" x14ac:dyDescent="0.2">
      <c r="A18" s="19" t="s">
        <v>836</v>
      </c>
      <c r="B18" s="19" t="s">
        <v>837</v>
      </c>
      <c r="C18" s="20" t="s">
        <v>844</v>
      </c>
      <c r="D18" s="21" t="s">
        <v>845</v>
      </c>
      <c r="E18" s="17">
        <v>2</v>
      </c>
      <c r="F18" s="18" t="s">
        <v>156</v>
      </c>
      <c r="G18" s="21"/>
      <c r="H18" s="21"/>
    </row>
    <row r="19" spans="1:8" ht="30" customHeight="1" x14ac:dyDescent="0.2">
      <c r="A19" s="14" t="s">
        <v>836</v>
      </c>
      <c r="B19" s="14" t="s">
        <v>837</v>
      </c>
      <c r="C19" s="15" t="s">
        <v>846</v>
      </c>
      <c r="D19" s="16" t="s">
        <v>847</v>
      </c>
      <c r="E19" s="17">
        <v>2</v>
      </c>
      <c r="F19" s="18" t="s">
        <v>45</v>
      </c>
      <c r="G19" s="16"/>
      <c r="H19" s="16"/>
    </row>
    <row r="20" spans="1:8" ht="30" customHeight="1" x14ac:dyDescent="0.2">
      <c r="A20" s="19" t="s">
        <v>836</v>
      </c>
      <c r="B20" s="19" t="s">
        <v>837</v>
      </c>
      <c r="C20" s="20" t="s">
        <v>848</v>
      </c>
      <c r="D20" s="21" t="s">
        <v>849</v>
      </c>
      <c r="E20" s="17">
        <v>2</v>
      </c>
      <c r="F20" s="18" t="s">
        <v>156</v>
      </c>
      <c r="G20" s="21"/>
      <c r="H20" s="21"/>
    </row>
    <row r="21" spans="1:8" ht="30" customHeight="1" x14ac:dyDescent="0.2">
      <c r="A21" s="14" t="s">
        <v>836</v>
      </c>
      <c r="B21" s="14" t="s">
        <v>837</v>
      </c>
      <c r="C21" s="15" t="s">
        <v>850</v>
      </c>
      <c r="D21" s="16" t="s">
        <v>851</v>
      </c>
      <c r="E21" s="17">
        <v>2</v>
      </c>
      <c r="F21" s="18" t="s">
        <v>156</v>
      </c>
      <c r="G21" s="16"/>
      <c r="H21" s="16"/>
    </row>
    <row r="22" spans="1:8" ht="18" customHeight="1" x14ac:dyDescent="0.2">
      <c r="A22" s="13" t="s">
        <v>852</v>
      </c>
      <c r="B22" s="13" t="s">
        <v>853</v>
      </c>
      <c r="C22" s="13"/>
      <c r="D22" s="13"/>
      <c r="E22" s="13"/>
      <c r="F22" s="13"/>
      <c r="G22" s="13"/>
      <c r="H22" s="13"/>
    </row>
    <row r="23" spans="1:8" ht="30" customHeight="1" x14ac:dyDescent="0.2">
      <c r="A23" s="14" t="s">
        <v>852</v>
      </c>
      <c r="B23" s="14" t="s">
        <v>853</v>
      </c>
      <c r="C23" s="15" t="s">
        <v>854</v>
      </c>
      <c r="D23" s="16" t="s">
        <v>855</v>
      </c>
      <c r="E23" s="25">
        <v>3</v>
      </c>
      <c r="F23" s="18" t="s">
        <v>45</v>
      </c>
      <c r="G23" s="23" t="s">
        <v>856</v>
      </c>
      <c r="H23" s="23" t="s">
        <v>857</v>
      </c>
    </row>
    <row r="24" spans="1:8" ht="30" customHeight="1" x14ac:dyDescent="0.2">
      <c r="A24" s="19" t="s">
        <v>852</v>
      </c>
      <c r="B24" s="19" t="s">
        <v>853</v>
      </c>
      <c r="C24" s="20" t="s">
        <v>858</v>
      </c>
      <c r="D24" s="21" t="s">
        <v>859</v>
      </c>
      <c r="E24" s="25">
        <v>3</v>
      </c>
      <c r="F24" s="18" t="s">
        <v>45</v>
      </c>
      <c r="G24" s="24" t="s">
        <v>860</v>
      </c>
      <c r="H24" s="24" t="s">
        <v>861</v>
      </c>
    </row>
    <row r="25" spans="1:8" ht="30" customHeight="1" x14ac:dyDescent="0.2">
      <c r="A25" s="14" t="s">
        <v>852</v>
      </c>
      <c r="B25" s="14" t="s">
        <v>853</v>
      </c>
      <c r="C25" s="15" t="s">
        <v>862</v>
      </c>
      <c r="D25" s="16" t="s">
        <v>863</v>
      </c>
      <c r="E25" s="25">
        <v>3</v>
      </c>
      <c r="F25" s="18" t="s">
        <v>156</v>
      </c>
      <c r="G25" s="16"/>
      <c r="H25" s="16"/>
    </row>
    <row r="26" spans="1:8" ht="30" customHeight="1" x14ac:dyDescent="0.2">
      <c r="A26" s="19" t="s">
        <v>852</v>
      </c>
      <c r="B26" s="19" t="s">
        <v>853</v>
      </c>
      <c r="C26" s="20" t="s">
        <v>864</v>
      </c>
      <c r="D26" s="21" t="s">
        <v>865</v>
      </c>
      <c r="E26" s="25">
        <v>3</v>
      </c>
      <c r="F26" s="18" t="s">
        <v>156</v>
      </c>
      <c r="G26" s="21"/>
      <c r="H26" s="21"/>
    </row>
  </sheetData>
  <conditionalFormatting sqref="F2:F26">
    <cfRule type="cellIs" dxfId="8" priority="2" operator="equal">
      <formula>"Compliant"</formula>
    </cfRule>
    <cfRule type="cellIs" dxfId="7" priority="3" operator="equal">
      <formula>"In Progress"</formula>
    </cfRule>
    <cfRule type="cellIs" dxfId="6"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114" zoomScaleNormal="114" workbookViewId="0">
      <pane ySplit="1" topLeftCell="A13" activePane="bottomLeft" state="frozen"/>
      <selection pane="bottomLeft" activeCell="F23" sqref="F2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866</v>
      </c>
      <c r="B2" s="13" t="s">
        <v>867</v>
      </c>
      <c r="C2" s="13"/>
      <c r="D2" s="13"/>
      <c r="E2" s="13"/>
      <c r="F2" s="13"/>
      <c r="G2" s="13"/>
      <c r="H2" s="13"/>
    </row>
    <row r="3" spans="1:8" ht="30" customHeight="1" x14ac:dyDescent="0.2">
      <c r="A3" s="14" t="s">
        <v>866</v>
      </c>
      <c r="B3" s="14" t="s">
        <v>867</v>
      </c>
      <c r="C3" s="15" t="s">
        <v>868</v>
      </c>
      <c r="D3" s="16" t="s">
        <v>869</v>
      </c>
      <c r="E3" s="17">
        <v>2</v>
      </c>
      <c r="F3" s="18" t="s">
        <v>45</v>
      </c>
      <c r="G3" s="16"/>
      <c r="H3" s="16"/>
    </row>
    <row r="4" spans="1:8" ht="18" customHeight="1" x14ac:dyDescent="0.2">
      <c r="A4" s="13" t="s">
        <v>870</v>
      </c>
      <c r="B4" s="13" t="s">
        <v>871</v>
      </c>
      <c r="C4" s="13"/>
      <c r="D4" s="13"/>
      <c r="E4" s="13"/>
      <c r="F4" s="13"/>
      <c r="G4" s="13"/>
      <c r="H4" s="13"/>
    </row>
    <row r="5" spans="1:8" ht="30" customHeight="1" x14ac:dyDescent="0.2">
      <c r="A5" s="14" t="s">
        <v>870</v>
      </c>
      <c r="B5" s="14" t="s">
        <v>871</v>
      </c>
      <c r="C5" s="15" t="s">
        <v>872</v>
      </c>
      <c r="D5" s="16" t="s">
        <v>873</v>
      </c>
      <c r="E5" s="17">
        <v>2</v>
      </c>
      <c r="F5" s="18" t="s">
        <v>45</v>
      </c>
      <c r="G5" s="23" t="s">
        <v>874</v>
      </c>
      <c r="H5" s="23" t="s">
        <v>875</v>
      </c>
    </row>
    <row r="6" spans="1:8" ht="30" customHeight="1" x14ac:dyDescent="0.2">
      <c r="A6" s="19" t="s">
        <v>870</v>
      </c>
      <c r="B6" s="19" t="s">
        <v>871</v>
      </c>
      <c r="C6" s="20" t="s">
        <v>876</v>
      </c>
      <c r="D6" s="21" t="s">
        <v>877</v>
      </c>
      <c r="E6" s="17">
        <v>2</v>
      </c>
      <c r="F6" s="18" t="s">
        <v>45</v>
      </c>
      <c r="G6" s="21"/>
      <c r="H6" s="21"/>
    </row>
    <row r="7" spans="1:8" ht="30" customHeight="1" x14ac:dyDescent="0.2">
      <c r="A7" s="14" t="s">
        <v>870</v>
      </c>
      <c r="B7" s="14" t="s">
        <v>871</v>
      </c>
      <c r="C7" s="15" t="s">
        <v>878</v>
      </c>
      <c r="D7" s="16" t="s">
        <v>879</v>
      </c>
      <c r="E7" s="17">
        <v>2</v>
      </c>
      <c r="F7" s="18" t="s">
        <v>45</v>
      </c>
      <c r="G7" s="16"/>
      <c r="H7" s="16"/>
    </row>
    <row r="8" spans="1:8" ht="30" customHeight="1" x14ac:dyDescent="0.2">
      <c r="A8" s="19" t="s">
        <v>870</v>
      </c>
      <c r="B8" s="19" t="s">
        <v>871</v>
      </c>
      <c r="C8" s="20" t="s">
        <v>880</v>
      </c>
      <c r="D8" s="21" t="s">
        <v>881</v>
      </c>
      <c r="E8" s="17">
        <v>2</v>
      </c>
      <c r="F8" s="18" t="s">
        <v>45</v>
      </c>
      <c r="G8" s="21"/>
      <c r="H8" s="21"/>
    </row>
    <row r="9" spans="1:8" ht="30" customHeight="1" x14ac:dyDescent="0.2">
      <c r="A9" s="14" t="s">
        <v>870</v>
      </c>
      <c r="B9" s="14" t="s">
        <v>871</v>
      </c>
      <c r="C9" s="15" t="s">
        <v>882</v>
      </c>
      <c r="D9" s="16" t="s">
        <v>883</v>
      </c>
      <c r="E9" s="17">
        <v>2</v>
      </c>
      <c r="F9" s="18" t="s">
        <v>45</v>
      </c>
      <c r="G9" s="23" t="s">
        <v>884</v>
      </c>
      <c r="H9" s="23" t="s">
        <v>885</v>
      </c>
    </row>
    <row r="10" spans="1:8" ht="18" customHeight="1" x14ac:dyDescent="0.2">
      <c r="A10" s="13" t="s">
        <v>886</v>
      </c>
      <c r="B10" s="13" t="s">
        <v>887</v>
      </c>
      <c r="C10" s="13"/>
      <c r="D10" s="13"/>
      <c r="E10" s="13"/>
      <c r="F10" s="13"/>
      <c r="G10" s="13"/>
      <c r="H10" s="13"/>
    </row>
    <row r="11" spans="1:8" ht="30" customHeight="1" x14ac:dyDescent="0.2">
      <c r="A11" s="14" t="s">
        <v>886</v>
      </c>
      <c r="B11" s="14" t="s">
        <v>887</v>
      </c>
      <c r="C11" s="15" t="s">
        <v>888</v>
      </c>
      <c r="D11" s="16" t="s">
        <v>889</v>
      </c>
      <c r="E11" s="17">
        <v>2</v>
      </c>
      <c r="F11" s="18" t="s">
        <v>45</v>
      </c>
      <c r="G11" s="16"/>
      <c r="H11" s="16"/>
    </row>
    <row r="12" spans="1:8" ht="30" customHeight="1" x14ac:dyDescent="0.2">
      <c r="A12" s="19" t="s">
        <v>886</v>
      </c>
      <c r="B12" s="19" t="s">
        <v>887</v>
      </c>
      <c r="C12" s="20" t="s">
        <v>890</v>
      </c>
      <c r="D12" s="21" t="s">
        <v>891</v>
      </c>
      <c r="E12" s="17">
        <v>2</v>
      </c>
      <c r="F12" s="18" t="s">
        <v>45</v>
      </c>
      <c r="G12" s="21"/>
      <c r="H12" s="21"/>
    </row>
    <row r="13" spans="1:8" ht="30" customHeight="1" x14ac:dyDescent="0.2">
      <c r="A13" s="14" t="s">
        <v>886</v>
      </c>
      <c r="B13" s="14" t="s">
        <v>887</v>
      </c>
      <c r="C13" s="15" t="s">
        <v>892</v>
      </c>
      <c r="D13" s="16" t="s">
        <v>893</v>
      </c>
      <c r="E13" s="17">
        <v>2</v>
      </c>
      <c r="F13" s="18" t="s">
        <v>45</v>
      </c>
      <c r="G13" s="16"/>
      <c r="H13" s="16"/>
    </row>
    <row r="14" spans="1:8" ht="30" customHeight="1" x14ac:dyDescent="0.2">
      <c r="A14" s="19" t="s">
        <v>886</v>
      </c>
      <c r="B14" s="19" t="s">
        <v>887</v>
      </c>
      <c r="C14" s="20" t="s">
        <v>894</v>
      </c>
      <c r="D14" s="21" t="s">
        <v>895</v>
      </c>
      <c r="E14" s="17">
        <v>2</v>
      </c>
      <c r="F14" s="18" t="s">
        <v>45</v>
      </c>
      <c r="G14" s="21"/>
      <c r="H14" s="21"/>
    </row>
    <row r="15" spans="1:8" ht="18" customHeight="1" x14ac:dyDescent="0.2">
      <c r="A15" s="13" t="s">
        <v>896</v>
      </c>
      <c r="B15" s="13" t="s">
        <v>897</v>
      </c>
      <c r="C15" s="13"/>
      <c r="D15" s="13"/>
      <c r="E15" s="13"/>
      <c r="F15" s="13"/>
      <c r="G15" s="13"/>
      <c r="H15" s="13"/>
    </row>
    <row r="16" spans="1:8" ht="30" customHeight="1" x14ac:dyDescent="0.2">
      <c r="A16" s="14" t="s">
        <v>896</v>
      </c>
      <c r="B16" s="14" t="s">
        <v>897</v>
      </c>
      <c r="C16" s="15" t="s">
        <v>898</v>
      </c>
      <c r="D16" s="16" t="s">
        <v>899</v>
      </c>
      <c r="E16" s="17">
        <v>2</v>
      </c>
      <c r="F16" s="18" t="s">
        <v>45</v>
      </c>
      <c r="G16" s="16"/>
      <c r="H16" s="16"/>
    </row>
    <row r="17" spans="1:8" ht="30" customHeight="1" x14ac:dyDescent="0.2">
      <c r="A17" s="19" t="s">
        <v>896</v>
      </c>
      <c r="B17" s="19" t="s">
        <v>897</v>
      </c>
      <c r="C17" s="20" t="s">
        <v>900</v>
      </c>
      <c r="D17" s="21" t="s">
        <v>901</v>
      </c>
      <c r="E17" s="17">
        <v>2</v>
      </c>
      <c r="F17" s="18" t="s">
        <v>156</v>
      </c>
      <c r="G17" s="21"/>
      <c r="H17" s="21"/>
    </row>
    <row r="18" spans="1:8" ht="30" customHeight="1" x14ac:dyDescent="0.2">
      <c r="A18" s="14" t="s">
        <v>896</v>
      </c>
      <c r="B18" s="14" t="s">
        <v>897</v>
      </c>
      <c r="C18" s="15" t="s">
        <v>902</v>
      </c>
      <c r="D18" s="16" t="s">
        <v>903</v>
      </c>
      <c r="E18" s="17">
        <v>2</v>
      </c>
      <c r="F18" s="18" t="s">
        <v>156</v>
      </c>
      <c r="G18" s="16"/>
      <c r="H18" s="16"/>
    </row>
    <row r="19" spans="1:8" ht="18" customHeight="1" x14ac:dyDescent="0.2">
      <c r="A19" s="13" t="s">
        <v>904</v>
      </c>
      <c r="B19" s="13" t="s">
        <v>905</v>
      </c>
      <c r="C19" s="13"/>
      <c r="D19" s="13"/>
      <c r="E19" s="13"/>
      <c r="F19" s="13"/>
      <c r="G19" s="13"/>
      <c r="H19" s="13"/>
    </row>
    <row r="20" spans="1:8" ht="30" customHeight="1" x14ac:dyDescent="0.2">
      <c r="A20" s="14" t="s">
        <v>904</v>
      </c>
      <c r="B20" s="14" t="s">
        <v>905</v>
      </c>
      <c r="C20" s="15" t="s">
        <v>906</v>
      </c>
      <c r="D20" s="16" t="s">
        <v>907</v>
      </c>
      <c r="E20" s="17">
        <v>2</v>
      </c>
      <c r="F20" s="18" t="s">
        <v>45</v>
      </c>
      <c r="G20" s="16"/>
      <c r="H20" s="16"/>
    </row>
    <row r="21" spans="1:8" ht="30" customHeight="1" x14ac:dyDescent="0.2">
      <c r="A21" s="19" t="s">
        <v>904</v>
      </c>
      <c r="B21" s="19" t="s">
        <v>905</v>
      </c>
      <c r="C21" s="20" t="s">
        <v>908</v>
      </c>
      <c r="D21" s="21" t="s">
        <v>909</v>
      </c>
      <c r="E21" s="17">
        <v>2</v>
      </c>
      <c r="F21" s="18" t="s">
        <v>45</v>
      </c>
      <c r="G21" s="21"/>
      <c r="H21" s="21"/>
    </row>
    <row r="22" spans="1:8" ht="30" customHeight="1" x14ac:dyDescent="0.2">
      <c r="A22" s="14" t="s">
        <v>904</v>
      </c>
      <c r="B22" s="14" t="s">
        <v>905</v>
      </c>
      <c r="C22" s="15" t="s">
        <v>910</v>
      </c>
      <c r="D22" s="16" t="s">
        <v>911</v>
      </c>
      <c r="E22" s="17">
        <v>2</v>
      </c>
      <c r="F22" s="18" t="s">
        <v>45</v>
      </c>
      <c r="G22" s="16"/>
      <c r="H22" s="16"/>
    </row>
    <row r="23" spans="1:8" ht="30" customHeight="1" x14ac:dyDescent="0.2">
      <c r="A23" s="19" t="s">
        <v>904</v>
      </c>
      <c r="B23" s="19" t="s">
        <v>905</v>
      </c>
      <c r="C23" s="20" t="s">
        <v>912</v>
      </c>
      <c r="D23" s="21" t="s">
        <v>913</v>
      </c>
      <c r="E23" s="25">
        <v>3</v>
      </c>
      <c r="F23" s="18" t="s">
        <v>45</v>
      </c>
      <c r="G23" s="21"/>
      <c r="H23" s="21"/>
    </row>
  </sheetData>
  <conditionalFormatting sqref="F2:F23">
    <cfRule type="cellIs" dxfId="5" priority="2" operator="equal">
      <formula>"Compliant"</formula>
    </cfRule>
    <cfRule type="cellIs" dxfId="4" priority="3" operator="equal">
      <formula>"In Progress"</formula>
    </cfRule>
    <cfRule type="cellIs" dxfId="3"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94" zoomScaleNormal="75" workbookViewId="0">
      <pane ySplit="1" topLeftCell="A2" activePane="bottomLeft" state="frozen"/>
      <selection pane="bottomLeft" activeCell="F3" sqref="F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75" customHeight="1" x14ac:dyDescent="0.2">
      <c r="A1" s="12" t="s">
        <v>33</v>
      </c>
      <c r="B1" s="12" t="s">
        <v>34</v>
      </c>
      <c r="C1" s="12" t="s">
        <v>35</v>
      </c>
      <c r="D1" s="12" t="s">
        <v>36</v>
      </c>
      <c r="E1" s="12" t="s">
        <v>37</v>
      </c>
      <c r="F1" s="12" t="s">
        <v>38</v>
      </c>
      <c r="G1" s="12" t="s">
        <v>39</v>
      </c>
      <c r="H1" s="12" t="s">
        <v>40</v>
      </c>
    </row>
    <row r="2" spans="1:8" ht="18" customHeight="1" x14ac:dyDescent="0.2">
      <c r="A2" s="13" t="s">
        <v>914</v>
      </c>
      <c r="B2" s="13" t="s">
        <v>915</v>
      </c>
      <c r="C2" s="13"/>
      <c r="D2" s="13"/>
      <c r="E2" s="13"/>
      <c r="F2" s="13"/>
      <c r="G2" s="13"/>
      <c r="H2" s="13"/>
    </row>
    <row r="3" spans="1:8" ht="30" customHeight="1" x14ac:dyDescent="0.2">
      <c r="A3" s="14" t="s">
        <v>914</v>
      </c>
      <c r="B3" s="14" t="s">
        <v>915</v>
      </c>
      <c r="C3" s="15" t="s">
        <v>916</v>
      </c>
      <c r="D3" s="16" t="s">
        <v>917</v>
      </c>
      <c r="E3" s="17">
        <v>2</v>
      </c>
      <c r="F3" s="18" t="s">
        <v>156</v>
      </c>
      <c r="G3" s="16"/>
      <c r="H3" s="16"/>
    </row>
    <row r="4" spans="1:8" ht="30" customHeight="1" x14ac:dyDescent="0.2">
      <c r="A4" s="19" t="s">
        <v>914</v>
      </c>
      <c r="B4" s="19" t="s">
        <v>915</v>
      </c>
      <c r="C4" s="20" t="s">
        <v>918</v>
      </c>
      <c r="D4" s="21" t="s">
        <v>919</v>
      </c>
      <c r="E4" s="25">
        <v>3</v>
      </c>
      <c r="F4" s="18" t="s">
        <v>156</v>
      </c>
      <c r="G4" s="21"/>
      <c r="H4" s="21"/>
    </row>
    <row r="5" spans="1:8" ht="18" customHeight="1" x14ac:dyDescent="0.2">
      <c r="A5" s="13" t="s">
        <v>920</v>
      </c>
      <c r="B5" s="13" t="s">
        <v>921</v>
      </c>
      <c r="C5" s="13"/>
      <c r="D5" s="13"/>
      <c r="E5" s="13"/>
      <c r="F5" s="18" t="s">
        <v>156</v>
      </c>
      <c r="G5" s="13"/>
      <c r="H5" s="13"/>
    </row>
    <row r="6" spans="1:8" ht="30" customHeight="1" x14ac:dyDescent="0.2">
      <c r="A6" s="14" t="s">
        <v>920</v>
      </c>
      <c r="B6" s="14" t="s">
        <v>921</v>
      </c>
      <c r="C6" s="15" t="s">
        <v>922</v>
      </c>
      <c r="D6" s="16" t="s">
        <v>923</v>
      </c>
      <c r="E6" s="17">
        <v>2</v>
      </c>
      <c r="F6" s="18" t="s">
        <v>156</v>
      </c>
      <c r="G6" s="16"/>
      <c r="H6" s="16"/>
    </row>
    <row r="7" spans="1:8" ht="30" customHeight="1" x14ac:dyDescent="0.2">
      <c r="A7" s="19" t="s">
        <v>920</v>
      </c>
      <c r="B7" s="19" t="s">
        <v>921</v>
      </c>
      <c r="C7" s="20" t="s">
        <v>924</v>
      </c>
      <c r="D7" s="21" t="s">
        <v>925</v>
      </c>
      <c r="E7" s="17">
        <v>2</v>
      </c>
      <c r="F7" s="18" t="s">
        <v>156</v>
      </c>
      <c r="G7" s="21"/>
      <c r="H7" s="21"/>
    </row>
    <row r="8" spans="1:8" ht="30" customHeight="1" x14ac:dyDescent="0.2">
      <c r="A8" s="14" t="s">
        <v>920</v>
      </c>
      <c r="B8" s="14" t="s">
        <v>921</v>
      </c>
      <c r="C8" s="15" t="s">
        <v>926</v>
      </c>
      <c r="D8" s="16" t="s">
        <v>927</v>
      </c>
      <c r="E8" s="17">
        <v>2</v>
      </c>
      <c r="F8" s="18" t="s">
        <v>156</v>
      </c>
      <c r="G8" s="16"/>
      <c r="H8" s="16"/>
    </row>
    <row r="9" spans="1:8" ht="30" customHeight="1" x14ac:dyDescent="0.2">
      <c r="A9" s="19" t="s">
        <v>920</v>
      </c>
      <c r="B9" s="19" t="s">
        <v>921</v>
      </c>
      <c r="C9" s="20" t="s">
        <v>928</v>
      </c>
      <c r="D9" s="21" t="s">
        <v>929</v>
      </c>
      <c r="E9" s="17">
        <v>2</v>
      </c>
      <c r="F9" s="18" t="s">
        <v>156</v>
      </c>
      <c r="G9" s="21"/>
      <c r="H9" s="21"/>
    </row>
    <row r="10" spans="1:8" ht="30" customHeight="1" x14ac:dyDescent="0.2">
      <c r="A10" s="14" t="s">
        <v>920</v>
      </c>
      <c r="B10" s="14" t="s">
        <v>921</v>
      </c>
      <c r="C10" s="15" t="s">
        <v>930</v>
      </c>
      <c r="D10" s="16" t="s">
        <v>931</v>
      </c>
      <c r="E10" s="25">
        <v>3</v>
      </c>
      <c r="F10" s="18" t="s">
        <v>156</v>
      </c>
      <c r="G10" s="16"/>
      <c r="H10" s="16"/>
    </row>
    <row r="11" spans="1:8" ht="30" customHeight="1" x14ac:dyDescent="0.2">
      <c r="A11" s="19" t="s">
        <v>920</v>
      </c>
      <c r="B11" s="19" t="s">
        <v>921</v>
      </c>
      <c r="C11" s="20" t="s">
        <v>932</v>
      </c>
      <c r="D11" s="21" t="s">
        <v>933</v>
      </c>
      <c r="E11" s="25">
        <v>3</v>
      </c>
      <c r="F11" s="18" t="s">
        <v>156</v>
      </c>
      <c r="G11" s="21"/>
      <c r="H11" s="21"/>
    </row>
    <row r="12" spans="1:8" ht="30" customHeight="1" x14ac:dyDescent="0.2">
      <c r="A12" s="14" t="s">
        <v>920</v>
      </c>
      <c r="B12" s="14" t="s">
        <v>921</v>
      </c>
      <c r="C12" s="15" t="s">
        <v>934</v>
      </c>
      <c r="D12" s="16" t="s">
        <v>935</v>
      </c>
      <c r="E12" s="25">
        <v>3</v>
      </c>
      <c r="F12" s="18" t="s">
        <v>156</v>
      </c>
      <c r="G12" s="16"/>
      <c r="H12" s="16"/>
    </row>
    <row r="13" spans="1:8" ht="30" customHeight="1" x14ac:dyDescent="0.2">
      <c r="A13" s="19" t="s">
        <v>920</v>
      </c>
      <c r="B13" s="19" t="s">
        <v>921</v>
      </c>
      <c r="C13" s="20" t="s">
        <v>936</v>
      </c>
      <c r="D13" s="21" t="s">
        <v>937</v>
      </c>
      <c r="E13" s="25">
        <v>3</v>
      </c>
      <c r="F13" s="18" t="s">
        <v>156</v>
      </c>
      <c r="G13" s="21"/>
      <c r="H13" s="21"/>
    </row>
    <row r="14" spans="1:8" ht="18" customHeight="1" x14ac:dyDescent="0.2">
      <c r="A14" s="13" t="s">
        <v>938</v>
      </c>
      <c r="B14" s="13" t="s">
        <v>939</v>
      </c>
      <c r="C14" s="13"/>
      <c r="D14" s="13"/>
      <c r="E14" s="13"/>
      <c r="F14" s="18" t="s">
        <v>156</v>
      </c>
      <c r="G14" s="13"/>
      <c r="H14" s="13"/>
    </row>
    <row r="15" spans="1:8" ht="30" customHeight="1" x14ac:dyDescent="0.2">
      <c r="A15" s="14" t="s">
        <v>938</v>
      </c>
      <c r="B15" s="14" t="s">
        <v>939</v>
      </c>
      <c r="C15" s="15" t="s">
        <v>940</v>
      </c>
      <c r="D15" s="16" t="s">
        <v>941</v>
      </c>
      <c r="E15" s="17">
        <v>2</v>
      </c>
      <c r="F15" s="18" t="s">
        <v>156</v>
      </c>
      <c r="G15" s="16"/>
      <c r="H15" s="16"/>
    </row>
    <row r="16" spans="1:8" ht="30" customHeight="1" x14ac:dyDescent="0.2">
      <c r="A16" s="19" t="s">
        <v>938</v>
      </c>
      <c r="B16" s="19" t="s">
        <v>939</v>
      </c>
      <c r="C16" s="20" t="s">
        <v>942</v>
      </c>
      <c r="D16" s="21" t="s">
        <v>943</v>
      </c>
      <c r="E16" s="17">
        <v>2</v>
      </c>
      <c r="F16" s="18" t="s">
        <v>156</v>
      </c>
      <c r="G16" s="21"/>
      <c r="H16" s="21"/>
    </row>
  </sheetData>
  <conditionalFormatting sqref="F2:F16">
    <cfRule type="cellIs" dxfId="2" priority="2" operator="equal">
      <formula>"Compliant"</formula>
    </cfRule>
    <cfRule type="cellIs" dxfId="1" priority="3" operator="equal">
      <formula>"In Progress"</formula>
    </cfRule>
    <cfRule type="cellIs" dxfId="0"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Rute Maia Ferreira</cp:lastModifiedBy>
  <cp:revision>4</cp:revision>
  <dcterms:created xsi:type="dcterms:W3CDTF">2026-03-04T10:14:28Z</dcterms:created>
  <dcterms:modified xsi:type="dcterms:W3CDTF">2026-06-15T21:04:53Z</dcterms:modified>
  <dc:language>pt-PT</dc:language>
</cp:coreProperties>
</file>